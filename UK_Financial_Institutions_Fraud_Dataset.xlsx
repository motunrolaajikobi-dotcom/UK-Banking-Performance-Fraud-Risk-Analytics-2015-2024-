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drawings/drawing3.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24226"/>
  <mc:AlternateContent xmlns:mc="http://schemas.openxmlformats.org/markup-compatibility/2006">
    <mc:Choice Requires="x15">
      <x15ac:absPath xmlns:x15ac="http://schemas.microsoft.com/office/spreadsheetml/2010/11/ac" url="https://d.docs.live.net/68fe68f4960bbb50/Documents/Portfolio dataset/"/>
    </mc:Choice>
  </mc:AlternateContent>
  <xr:revisionPtr revIDLastSave="565" documentId="8_{9F1E5A36-6E01-46D4-A075-CF8A3BF99C0D}" xr6:coauthVersionLast="47" xr6:coauthVersionMax="47" xr10:uidLastSave="{1B8DAA7F-1DD6-4D41-B729-72CA500A1EC9}"/>
  <bookViews>
    <workbookView xWindow="-108" yWindow="-108" windowWidth="23256" windowHeight="12456" firstSheet="1" activeTab="4" xr2:uid="{00000000-000D-0000-FFFF-FFFF00000000}"/>
  </bookViews>
  <sheets>
    <sheet name="Original Data" sheetId="2" r:id="rId1"/>
    <sheet name="Dataset" sheetId="1" r:id="rId2"/>
    <sheet name="Pivot table" sheetId="12" r:id="rId3"/>
    <sheet name="Dashboard 1" sheetId="10" r:id="rId4"/>
    <sheet name="Dashboard 2" sheetId="13" r:id="rId5"/>
    <sheet name="Power query" sheetId="4" r:id="rId6"/>
  </sheets>
  <definedNames>
    <definedName name="_xlnm._FilterDatabase" localSheetId="1" hidden="1">Dataset!$A$1:$M$201</definedName>
    <definedName name="ExternalData_2" localSheetId="5" hidden="1">'Power query'!$D$1:$E$201</definedName>
    <definedName name="ExternalData_3" localSheetId="5" hidden="1">'Power query'!$A$1:$B$201</definedName>
    <definedName name="ExternalData_4" localSheetId="5" hidden="1">'Power query'!$N$1:$O$201</definedName>
    <definedName name="Slicer_Bank_Type">#N/A</definedName>
    <definedName name="Slicer_Risk_Rating">#N/A</definedName>
    <definedName name="Slicer_Year">#N/A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01" i="1" l="1"/>
  <c r="P201" i="1"/>
  <c r="O201" i="1"/>
  <c r="N201" i="1"/>
  <c r="C201" i="1"/>
  <c r="Q200" i="1"/>
  <c r="P200" i="1"/>
  <c r="O200" i="1"/>
  <c r="N200" i="1"/>
  <c r="C200" i="1"/>
  <c r="Q199" i="1"/>
  <c r="P199" i="1"/>
  <c r="O199" i="1"/>
  <c r="N199" i="1"/>
  <c r="C199" i="1"/>
  <c r="Q198" i="1"/>
  <c r="P198" i="1"/>
  <c r="O198" i="1"/>
  <c r="N198" i="1"/>
  <c r="C198" i="1"/>
  <c r="Q197" i="1"/>
  <c r="P197" i="1"/>
  <c r="O197" i="1"/>
  <c r="N197" i="1"/>
  <c r="C197" i="1"/>
  <c r="Q196" i="1"/>
  <c r="P196" i="1"/>
  <c r="O196" i="1"/>
  <c r="N196" i="1"/>
  <c r="C196" i="1"/>
  <c r="Q195" i="1"/>
  <c r="P195" i="1"/>
  <c r="O195" i="1"/>
  <c r="N195" i="1"/>
  <c r="C195" i="1"/>
  <c r="Q194" i="1"/>
  <c r="P194" i="1"/>
  <c r="O194" i="1"/>
  <c r="N194" i="1"/>
  <c r="C194" i="1"/>
  <c r="Q193" i="1"/>
  <c r="P193" i="1"/>
  <c r="O193" i="1"/>
  <c r="N193" i="1"/>
  <c r="C193" i="1"/>
  <c r="Q192" i="1"/>
  <c r="P192" i="1"/>
  <c r="O192" i="1"/>
  <c r="N192" i="1"/>
  <c r="C192" i="1"/>
  <c r="Q191" i="1"/>
  <c r="P191" i="1"/>
  <c r="O191" i="1"/>
  <c r="N191" i="1"/>
  <c r="C191" i="1"/>
  <c r="Q190" i="1"/>
  <c r="P190" i="1"/>
  <c r="O190" i="1"/>
  <c r="N190" i="1"/>
  <c r="C190" i="1"/>
  <c r="Q189" i="1"/>
  <c r="P189" i="1"/>
  <c r="O189" i="1"/>
  <c r="N189" i="1"/>
  <c r="C189" i="1"/>
  <c r="Q188" i="1"/>
  <c r="P188" i="1"/>
  <c r="O188" i="1"/>
  <c r="N188" i="1"/>
  <c r="C188" i="1"/>
  <c r="Q187" i="1"/>
  <c r="P187" i="1"/>
  <c r="O187" i="1"/>
  <c r="N187" i="1"/>
  <c r="C187" i="1"/>
  <c r="Q186" i="1"/>
  <c r="P186" i="1"/>
  <c r="O186" i="1"/>
  <c r="N186" i="1"/>
  <c r="C186" i="1"/>
  <c r="Q185" i="1"/>
  <c r="P185" i="1"/>
  <c r="O185" i="1"/>
  <c r="N185" i="1"/>
  <c r="C185" i="1"/>
  <c r="Q184" i="1"/>
  <c r="P184" i="1"/>
  <c r="O184" i="1"/>
  <c r="N184" i="1"/>
  <c r="C184" i="1"/>
  <c r="Q183" i="1"/>
  <c r="P183" i="1"/>
  <c r="O183" i="1"/>
  <c r="N183" i="1"/>
  <c r="C183" i="1"/>
  <c r="Q182" i="1"/>
  <c r="P182" i="1"/>
  <c r="O182" i="1"/>
  <c r="N182" i="1"/>
  <c r="C182" i="1"/>
  <c r="Q181" i="1"/>
  <c r="P181" i="1"/>
  <c r="O181" i="1"/>
  <c r="N181" i="1"/>
  <c r="C181" i="1"/>
  <c r="Q180" i="1"/>
  <c r="P180" i="1"/>
  <c r="O180" i="1"/>
  <c r="N180" i="1"/>
  <c r="C180" i="1"/>
  <c r="Q179" i="1"/>
  <c r="P179" i="1"/>
  <c r="O179" i="1"/>
  <c r="N179" i="1"/>
  <c r="C179" i="1"/>
  <c r="Q178" i="1"/>
  <c r="P178" i="1"/>
  <c r="O178" i="1"/>
  <c r="N178" i="1"/>
  <c r="C178" i="1"/>
  <c r="Q177" i="1"/>
  <c r="P177" i="1"/>
  <c r="O177" i="1"/>
  <c r="N177" i="1"/>
  <c r="C177" i="1"/>
  <c r="Q176" i="1"/>
  <c r="P176" i="1"/>
  <c r="O176" i="1"/>
  <c r="N176" i="1"/>
  <c r="C176" i="1"/>
  <c r="Q175" i="1"/>
  <c r="P175" i="1"/>
  <c r="O175" i="1"/>
  <c r="N175" i="1"/>
  <c r="C175" i="1"/>
  <c r="Q174" i="1"/>
  <c r="P174" i="1"/>
  <c r="O174" i="1"/>
  <c r="N174" i="1"/>
  <c r="C174" i="1"/>
  <c r="Q173" i="1"/>
  <c r="P173" i="1"/>
  <c r="O173" i="1"/>
  <c r="N173" i="1"/>
  <c r="C173" i="1"/>
  <c r="Q172" i="1"/>
  <c r="P172" i="1"/>
  <c r="O172" i="1"/>
  <c r="N172" i="1"/>
  <c r="C172" i="1"/>
  <c r="Q171" i="1"/>
  <c r="P171" i="1"/>
  <c r="O171" i="1"/>
  <c r="N171" i="1"/>
  <c r="C171" i="1"/>
  <c r="Q170" i="1"/>
  <c r="P170" i="1"/>
  <c r="O170" i="1"/>
  <c r="N170" i="1"/>
  <c r="C170" i="1"/>
  <c r="Q169" i="1"/>
  <c r="P169" i="1"/>
  <c r="O169" i="1"/>
  <c r="N169" i="1"/>
  <c r="C169" i="1"/>
  <c r="Q168" i="1"/>
  <c r="P168" i="1"/>
  <c r="O168" i="1"/>
  <c r="N168" i="1"/>
  <c r="C168" i="1"/>
  <c r="Q167" i="1"/>
  <c r="P167" i="1"/>
  <c r="O167" i="1"/>
  <c r="N167" i="1"/>
  <c r="C167" i="1"/>
  <c r="Q166" i="1"/>
  <c r="P166" i="1"/>
  <c r="O166" i="1"/>
  <c r="N166" i="1"/>
  <c r="C166" i="1"/>
  <c r="Q165" i="1"/>
  <c r="P165" i="1"/>
  <c r="O165" i="1"/>
  <c r="N165" i="1"/>
  <c r="C165" i="1"/>
  <c r="Q164" i="1"/>
  <c r="P164" i="1"/>
  <c r="O164" i="1"/>
  <c r="N164" i="1"/>
  <c r="C164" i="1"/>
  <c r="Q163" i="1"/>
  <c r="P163" i="1"/>
  <c r="O163" i="1"/>
  <c r="N163" i="1"/>
  <c r="C163" i="1"/>
  <c r="Q162" i="1"/>
  <c r="P162" i="1"/>
  <c r="O162" i="1"/>
  <c r="N162" i="1"/>
  <c r="C162" i="1"/>
  <c r="Q161" i="1"/>
  <c r="P161" i="1"/>
  <c r="O161" i="1"/>
  <c r="N161" i="1"/>
  <c r="C161" i="1"/>
  <c r="Q160" i="1"/>
  <c r="P160" i="1"/>
  <c r="O160" i="1"/>
  <c r="N160" i="1"/>
  <c r="C160" i="1"/>
  <c r="Q159" i="1"/>
  <c r="P159" i="1"/>
  <c r="O159" i="1"/>
  <c r="N159" i="1"/>
  <c r="C159" i="1"/>
  <c r="Q158" i="1"/>
  <c r="P158" i="1"/>
  <c r="O158" i="1"/>
  <c r="N158" i="1"/>
  <c r="C158" i="1"/>
  <c r="Q157" i="1"/>
  <c r="P157" i="1"/>
  <c r="O157" i="1"/>
  <c r="N157" i="1"/>
  <c r="C157" i="1"/>
  <c r="Q156" i="1"/>
  <c r="P156" i="1"/>
  <c r="O156" i="1"/>
  <c r="N156" i="1"/>
  <c r="C156" i="1"/>
  <c r="Q155" i="1"/>
  <c r="P155" i="1"/>
  <c r="O155" i="1"/>
  <c r="N155" i="1"/>
  <c r="C155" i="1"/>
  <c r="Q154" i="1"/>
  <c r="P154" i="1"/>
  <c r="O154" i="1"/>
  <c r="N154" i="1"/>
  <c r="C154" i="1"/>
  <c r="Q153" i="1"/>
  <c r="P153" i="1"/>
  <c r="O153" i="1"/>
  <c r="N153" i="1"/>
  <c r="C153" i="1"/>
  <c r="Q152" i="1"/>
  <c r="P152" i="1"/>
  <c r="O152" i="1"/>
  <c r="N152" i="1"/>
  <c r="C152" i="1"/>
  <c r="Q151" i="1"/>
  <c r="P151" i="1"/>
  <c r="O151" i="1"/>
  <c r="N151" i="1"/>
  <c r="C151" i="1"/>
  <c r="Q150" i="1"/>
  <c r="P150" i="1"/>
  <c r="O150" i="1"/>
  <c r="N150" i="1"/>
  <c r="C150" i="1"/>
  <c r="Q149" i="1"/>
  <c r="P149" i="1"/>
  <c r="O149" i="1"/>
  <c r="N149" i="1"/>
  <c r="C149" i="1"/>
  <c r="Q148" i="1"/>
  <c r="P148" i="1"/>
  <c r="O148" i="1"/>
  <c r="N148" i="1"/>
  <c r="C148" i="1"/>
  <c r="Q147" i="1"/>
  <c r="P147" i="1"/>
  <c r="O147" i="1"/>
  <c r="N147" i="1"/>
  <c r="C147" i="1"/>
  <c r="Q146" i="1"/>
  <c r="P146" i="1"/>
  <c r="O146" i="1"/>
  <c r="N146" i="1"/>
  <c r="C146" i="1"/>
  <c r="Q145" i="1"/>
  <c r="P145" i="1"/>
  <c r="O145" i="1"/>
  <c r="N145" i="1"/>
  <c r="C145" i="1"/>
  <c r="Q144" i="1"/>
  <c r="P144" i="1"/>
  <c r="O144" i="1"/>
  <c r="N144" i="1"/>
  <c r="C144" i="1"/>
  <c r="Q143" i="1"/>
  <c r="P143" i="1"/>
  <c r="O143" i="1"/>
  <c r="N143" i="1"/>
  <c r="C143" i="1"/>
  <c r="Q142" i="1"/>
  <c r="P142" i="1"/>
  <c r="O142" i="1"/>
  <c r="N142" i="1"/>
  <c r="C142" i="1"/>
  <c r="Q141" i="1"/>
  <c r="P141" i="1"/>
  <c r="O141" i="1"/>
  <c r="N141" i="1"/>
  <c r="C141" i="1"/>
  <c r="Q140" i="1"/>
  <c r="P140" i="1"/>
  <c r="O140" i="1"/>
  <c r="N140" i="1"/>
  <c r="C140" i="1"/>
  <c r="Q139" i="1"/>
  <c r="P139" i="1"/>
  <c r="O139" i="1"/>
  <c r="N139" i="1"/>
  <c r="C139" i="1"/>
  <c r="Q138" i="1"/>
  <c r="P138" i="1"/>
  <c r="O138" i="1"/>
  <c r="N138" i="1"/>
  <c r="C138" i="1"/>
  <c r="Q137" i="1"/>
  <c r="P137" i="1"/>
  <c r="O137" i="1"/>
  <c r="N137" i="1"/>
  <c r="C137" i="1"/>
  <c r="Q136" i="1"/>
  <c r="P136" i="1"/>
  <c r="O136" i="1"/>
  <c r="N136" i="1"/>
  <c r="C136" i="1"/>
  <c r="Q135" i="1"/>
  <c r="P135" i="1"/>
  <c r="O135" i="1"/>
  <c r="N135" i="1"/>
  <c r="C135" i="1"/>
  <c r="Q134" i="1"/>
  <c r="P134" i="1"/>
  <c r="O134" i="1"/>
  <c r="N134" i="1"/>
  <c r="C134" i="1"/>
  <c r="Q133" i="1"/>
  <c r="P133" i="1"/>
  <c r="O133" i="1"/>
  <c r="N133" i="1"/>
  <c r="C133" i="1"/>
  <c r="Q132" i="1"/>
  <c r="P132" i="1"/>
  <c r="O132" i="1"/>
  <c r="N132" i="1"/>
  <c r="C132" i="1"/>
  <c r="Q131" i="1"/>
  <c r="P131" i="1"/>
  <c r="O131" i="1"/>
  <c r="N131" i="1"/>
  <c r="C131" i="1"/>
  <c r="Q130" i="1"/>
  <c r="P130" i="1"/>
  <c r="O130" i="1"/>
  <c r="N130" i="1"/>
  <c r="C130" i="1"/>
  <c r="Q129" i="1"/>
  <c r="P129" i="1"/>
  <c r="O129" i="1"/>
  <c r="N129" i="1"/>
  <c r="C129" i="1"/>
  <c r="Q128" i="1"/>
  <c r="P128" i="1"/>
  <c r="O128" i="1"/>
  <c r="N128" i="1"/>
  <c r="C128" i="1"/>
  <c r="Q127" i="1"/>
  <c r="P127" i="1"/>
  <c r="O127" i="1"/>
  <c r="N127" i="1"/>
  <c r="C127" i="1"/>
  <c r="Q126" i="1"/>
  <c r="P126" i="1"/>
  <c r="O126" i="1"/>
  <c r="N126" i="1"/>
  <c r="C126" i="1"/>
  <c r="Q125" i="1"/>
  <c r="P125" i="1"/>
  <c r="O125" i="1"/>
  <c r="N125" i="1"/>
  <c r="C125" i="1"/>
  <c r="Q124" i="1"/>
  <c r="P124" i="1"/>
  <c r="O124" i="1"/>
  <c r="N124" i="1"/>
  <c r="C124" i="1"/>
  <c r="Q123" i="1"/>
  <c r="P123" i="1"/>
  <c r="O123" i="1"/>
  <c r="N123" i="1"/>
  <c r="C123" i="1"/>
  <c r="Q122" i="1"/>
  <c r="P122" i="1"/>
  <c r="O122" i="1"/>
  <c r="N122" i="1"/>
  <c r="C122" i="1"/>
  <c r="Q121" i="1"/>
  <c r="P121" i="1"/>
  <c r="O121" i="1"/>
  <c r="N121" i="1"/>
  <c r="C121" i="1"/>
  <c r="Q120" i="1"/>
  <c r="P120" i="1"/>
  <c r="O120" i="1"/>
  <c r="N120" i="1"/>
  <c r="C120" i="1"/>
  <c r="Q119" i="1"/>
  <c r="P119" i="1"/>
  <c r="O119" i="1"/>
  <c r="N119" i="1"/>
  <c r="C119" i="1"/>
  <c r="Q118" i="1"/>
  <c r="P118" i="1"/>
  <c r="O118" i="1"/>
  <c r="N118" i="1"/>
  <c r="C118" i="1"/>
  <c r="Q117" i="1"/>
  <c r="P117" i="1"/>
  <c r="O117" i="1"/>
  <c r="N117" i="1"/>
  <c r="C117" i="1"/>
  <c r="Q116" i="1"/>
  <c r="P116" i="1"/>
  <c r="O116" i="1"/>
  <c r="N116" i="1"/>
  <c r="C116" i="1"/>
  <c r="Q115" i="1"/>
  <c r="P115" i="1"/>
  <c r="O115" i="1"/>
  <c r="N115" i="1"/>
  <c r="C115" i="1"/>
  <c r="Q114" i="1"/>
  <c r="P114" i="1"/>
  <c r="O114" i="1"/>
  <c r="N114" i="1"/>
  <c r="C114" i="1"/>
  <c r="Q113" i="1"/>
  <c r="P113" i="1"/>
  <c r="O113" i="1"/>
  <c r="N113" i="1"/>
  <c r="C113" i="1"/>
  <c r="Q112" i="1"/>
  <c r="P112" i="1"/>
  <c r="O112" i="1"/>
  <c r="N112" i="1"/>
  <c r="C112" i="1"/>
  <c r="Q111" i="1"/>
  <c r="P111" i="1"/>
  <c r="O111" i="1"/>
  <c r="N111" i="1"/>
  <c r="C111" i="1"/>
  <c r="Q110" i="1"/>
  <c r="P110" i="1"/>
  <c r="O110" i="1"/>
  <c r="N110" i="1"/>
  <c r="C110" i="1"/>
  <c r="Q109" i="1"/>
  <c r="P109" i="1"/>
  <c r="O109" i="1"/>
  <c r="N109" i="1"/>
  <c r="C109" i="1"/>
  <c r="Q108" i="1"/>
  <c r="P108" i="1"/>
  <c r="O108" i="1"/>
  <c r="N108" i="1"/>
  <c r="C108" i="1"/>
  <c r="Q107" i="1"/>
  <c r="P107" i="1"/>
  <c r="O107" i="1"/>
  <c r="N107" i="1"/>
  <c r="C107" i="1"/>
  <c r="Q106" i="1"/>
  <c r="P106" i="1"/>
  <c r="O106" i="1"/>
  <c r="N106" i="1"/>
  <c r="C106" i="1"/>
  <c r="Q105" i="1"/>
  <c r="P105" i="1"/>
  <c r="O105" i="1"/>
  <c r="N105" i="1"/>
  <c r="C105" i="1"/>
  <c r="Q104" i="1"/>
  <c r="P104" i="1"/>
  <c r="O104" i="1"/>
  <c r="N104" i="1"/>
  <c r="C104" i="1"/>
  <c r="Q103" i="1"/>
  <c r="P103" i="1"/>
  <c r="O103" i="1"/>
  <c r="N103" i="1"/>
  <c r="C103" i="1"/>
  <c r="Q102" i="1"/>
  <c r="P102" i="1"/>
  <c r="O102" i="1"/>
  <c r="N102" i="1"/>
  <c r="C102" i="1"/>
  <c r="Q101" i="1"/>
  <c r="P101" i="1"/>
  <c r="O101" i="1"/>
  <c r="N101" i="1"/>
  <c r="C101" i="1"/>
  <c r="Q100" i="1"/>
  <c r="P100" i="1"/>
  <c r="O100" i="1"/>
  <c r="N100" i="1"/>
  <c r="C100" i="1"/>
  <c r="Q99" i="1"/>
  <c r="P99" i="1"/>
  <c r="O99" i="1"/>
  <c r="N99" i="1"/>
  <c r="C99" i="1"/>
  <c r="Q98" i="1"/>
  <c r="P98" i="1"/>
  <c r="O98" i="1"/>
  <c r="N98" i="1"/>
  <c r="C98" i="1"/>
  <c r="Q97" i="1"/>
  <c r="P97" i="1"/>
  <c r="O97" i="1"/>
  <c r="N97" i="1"/>
  <c r="C97" i="1"/>
  <c r="Q96" i="1"/>
  <c r="P96" i="1"/>
  <c r="O96" i="1"/>
  <c r="N96" i="1"/>
  <c r="C96" i="1"/>
  <c r="Q95" i="1"/>
  <c r="P95" i="1"/>
  <c r="O95" i="1"/>
  <c r="N95" i="1"/>
  <c r="C95" i="1"/>
  <c r="Q94" i="1"/>
  <c r="P94" i="1"/>
  <c r="O94" i="1"/>
  <c r="N94" i="1"/>
  <c r="C94" i="1"/>
  <c r="Q93" i="1"/>
  <c r="P93" i="1"/>
  <c r="O93" i="1"/>
  <c r="N93" i="1"/>
  <c r="C93" i="1"/>
  <c r="Q92" i="1"/>
  <c r="P92" i="1"/>
  <c r="O92" i="1"/>
  <c r="N92" i="1"/>
  <c r="C92" i="1"/>
  <c r="Q91" i="1"/>
  <c r="P91" i="1"/>
  <c r="O91" i="1"/>
  <c r="N91" i="1"/>
  <c r="C91" i="1"/>
  <c r="Q90" i="1"/>
  <c r="P90" i="1"/>
  <c r="O90" i="1"/>
  <c r="N90" i="1"/>
  <c r="C90" i="1"/>
  <c r="Q89" i="1"/>
  <c r="P89" i="1"/>
  <c r="O89" i="1"/>
  <c r="N89" i="1"/>
  <c r="C89" i="1"/>
  <c r="Q88" i="1"/>
  <c r="P88" i="1"/>
  <c r="O88" i="1"/>
  <c r="N88" i="1"/>
  <c r="C88" i="1"/>
  <c r="Q87" i="1"/>
  <c r="P87" i="1"/>
  <c r="O87" i="1"/>
  <c r="N87" i="1"/>
  <c r="C87" i="1"/>
  <c r="Q86" i="1"/>
  <c r="P86" i="1"/>
  <c r="O86" i="1"/>
  <c r="N86" i="1"/>
  <c r="C86" i="1"/>
  <c r="Q85" i="1"/>
  <c r="P85" i="1"/>
  <c r="O85" i="1"/>
  <c r="N85" i="1"/>
  <c r="C85" i="1"/>
  <c r="Q84" i="1"/>
  <c r="P84" i="1"/>
  <c r="O84" i="1"/>
  <c r="N84" i="1"/>
  <c r="C84" i="1"/>
  <c r="Q83" i="1"/>
  <c r="P83" i="1"/>
  <c r="O83" i="1"/>
  <c r="N83" i="1"/>
  <c r="C83" i="1"/>
  <c r="Q82" i="1"/>
  <c r="P82" i="1"/>
  <c r="O82" i="1"/>
  <c r="N82" i="1"/>
  <c r="C82" i="1"/>
  <c r="Q81" i="1"/>
  <c r="P81" i="1"/>
  <c r="O81" i="1"/>
  <c r="N81" i="1"/>
  <c r="C81" i="1"/>
  <c r="Q80" i="1"/>
  <c r="P80" i="1"/>
  <c r="O80" i="1"/>
  <c r="N80" i="1"/>
  <c r="C80" i="1"/>
  <c r="Q79" i="1"/>
  <c r="P79" i="1"/>
  <c r="O79" i="1"/>
  <c r="N79" i="1"/>
  <c r="C79" i="1"/>
  <c r="Q78" i="1"/>
  <c r="P78" i="1"/>
  <c r="O78" i="1"/>
  <c r="N78" i="1"/>
  <c r="C78" i="1"/>
  <c r="Q77" i="1"/>
  <c r="P77" i="1"/>
  <c r="O77" i="1"/>
  <c r="N77" i="1"/>
  <c r="C77" i="1"/>
  <c r="Q76" i="1"/>
  <c r="P76" i="1"/>
  <c r="O76" i="1"/>
  <c r="N76" i="1"/>
  <c r="C76" i="1"/>
  <c r="Q75" i="1"/>
  <c r="P75" i="1"/>
  <c r="O75" i="1"/>
  <c r="N75" i="1"/>
  <c r="C75" i="1"/>
  <c r="Q74" i="1"/>
  <c r="P74" i="1"/>
  <c r="O74" i="1"/>
  <c r="N74" i="1"/>
  <c r="C74" i="1"/>
  <c r="Q73" i="1"/>
  <c r="P73" i="1"/>
  <c r="O73" i="1"/>
  <c r="N73" i="1"/>
  <c r="C73" i="1"/>
  <c r="Q72" i="1"/>
  <c r="P72" i="1"/>
  <c r="O72" i="1"/>
  <c r="N72" i="1"/>
  <c r="C72" i="1"/>
  <c r="Q71" i="1"/>
  <c r="P71" i="1"/>
  <c r="O71" i="1"/>
  <c r="N71" i="1"/>
  <c r="C71" i="1"/>
  <c r="Q70" i="1"/>
  <c r="P70" i="1"/>
  <c r="O70" i="1"/>
  <c r="N70" i="1"/>
  <c r="C70" i="1"/>
  <c r="Q69" i="1"/>
  <c r="P69" i="1"/>
  <c r="O69" i="1"/>
  <c r="N69" i="1"/>
  <c r="C69" i="1"/>
  <c r="Q68" i="1"/>
  <c r="P68" i="1"/>
  <c r="O68" i="1"/>
  <c r="N68" i="1"/>
  <c r="C68" i="1"/>
  <c r="Q67" i="1"/>
  <c r="P67" i="1"/>
  <c r="O67" i="1"/>
  <c r="N67" i="1"/>
  <c r="C67" i="1"/>
  <c r="Q66" i="1"/>
  <c r="P66" i="1"/>
  <c r="O66" i="1"/>
  <c r="N66" i="1"/>
  <c r="C66" i="1"/>
  <c r="Q65" i="1"/>
  <c r="P65" i="1"/>
  <c r="O65" i="1"/>
  <c r="N65" i="1"/>
  <c r="C65" i="1"/>
  <c r="Q64" i="1"/>
  <c r="P64" i="1"/>
  <c r="O64" i="1"/>
  <c r="N64" i="1"/>
  <c r="C64" i="1"/>
  <c r="Q63" i="1"/>
  <c r="P63" i="1"/>
  <c r="O63" i="1"/>
  <c r="N63" i="1"/>
  <c r="C63" i="1"/>
  <c r="Q62" i="1"/>
  <c r="P62" i="1"/>
  <c r="O62" i="1"/>
  <c r="N62" i="1"/>
  <c r="C62" i="1"/>
  <c r="Q61" i="1"/>
  <c r="P61" i="1"/>
  <c r="O61" i="1"/>
  <c r="N61" i="1"/>
  <c r="C61" i="1"/>
  <c r="Q60" i="1"/>
  <c r="P60" i="1"/>
  <c r="O60" i="1"/>
  <c r="N60" i="1"/>
  <c r="C60" i="1"/>
  <c r="Q59" i="1"/>
  <c r="P59" i="1"/>
  <c r="O59" i="1"/>
  <c r="N59" i="1"/>
  <c r="C59" i="1"/>
  <c r="Q58" i="1"/>
  <c r="P58" i="1"/>
  <c r="O58" i="1"/>
  <c r="N58" i="1"/>
  <c r="C58" i="1"/>
  <c r="Q57" i="1"/>
  <c r="P57" i="1"/>
  <c r="O57" i="1"/>
  <c r="N57" i="1"/>
  <c r="C57" i="1"/>
  <c r="Q56" i="1"/>
  <c r="P56" i="1"/>
  <c r="O56" i="1"/>
  <c r="N56" i="1"/>
  <c r="C56" i="1"/>
  <c r="Q55" i="1"/>
  <c r="P55" i="1"/>
  <c r="O55" i="1"/>
  <c r="N55" i="1"/>
  <c r="C55" i="1"/>
  <c r="Q54" i="1"/>
  <c r="P54" i="1"/>
  <c r="O54" i="1"/>
  <c r="N54" i="1"/>
  <c r="C54" i="1"/>
  <c r="Q53" i="1"/>
  <c r="P53" i="1"/>
  <c r="O53" i="1"/>
  <c r="N53" i="1"/>
  <c r="C53" i="1"/>
  <c r="Q52" i="1"/>
  <c r="P52" i="1"/>
  <c r="O52" i="1"/>
  <c r="N52" i="1"/>
  <c r="C52" i="1"/>
  <c r="Q51" i="1"/>
  <c r="P51" i="1"/>
  <c r="O51" i="1"/>
  <c r="N51" i="1"/>
  <c r="C51" i="1"/>
  <c r="Q50" i="1"/>
  <c r="P50" i="1"/>
  <c r="O50" i="1"/>
  <c r="N50" i="1"/>
  <c r="C50" i="1"/>
  <c r="Q49" i="1"/>
  <c r="P49" i="1"/>
  <c r="O49" i="1"/>
  <c r="N49" i="1"/>
  <c r="C49" i="1"/>
  <c r="Q48" i="1"/>
  <c r="P48" i="1"/>
  <c r="O48" i="1"/>
  <c r="N48" i="1"/>
  <c r="C48" i="1"/>
  <c r="Q47" i="1"/>
  <c r="P47" i="1"/>
  <c r="O47" i="1"/>
  <c r="N47" i="1"/>
  <c r="C47" i="1"/>
  <c r="Q46" i="1"/>
  <c r="P46" i="1"/>
  <c r="O46" i="1"/>
  <c r="N46" i="1"/>
  <c r="C46" i="1"/>
  <c r="Q45" i="1"/>
  <c r="P45" i="1"/>
  <c r="O45" i="1"/>
  <c r="N45" i="1"/>
  <c r="C45" i="1"/>
  <c r="Q44" i="1"/>
  <c r="P44" i="1"/>
  <c r="O44" i="1"/>
  <c r="N44" i="1"/>
  <c r="C44" i="1"/>
  <c r="Q43" i="1"/>
  <c r="P43" i="1"/>
  <c r="O43" i="1"/>
  <c r="N43" i="1"/>
  <c r="C43" i="1"/>
  <c r="Q42" i="1"/>
  <c r="P42" i="1"/>
  <c r="O42" i="1"/>
  <c r="N42" i="1"/>
  <c r="C42" i="1"/>
  <c r="Q41" i="1"/>
  <c r="P41" i="1"/>
  <c r="O41" i="1"/>
  <c r="N41" i="1"/>
  <c r="C41" i="1"/>
  <c r="Q40" i="1"/>
  <c r="P40" i="1"/>
  <c r="O40" i="1"/>
  <c r="N40" i="1"/>
  <c r="C40" i="1"/>
  <c r="Q39" i="1"/>
  <c r="P39" i="1"/>
  <c r="O39" i="1"/>
  <c r="N39" i="1"/>
  <c r="C39" i="1"/>
  <c r="Q38" i="1"/>
  <c r="P38" i="1"/>
  <c r="O38" i="1"/>
  <c r="N38" i="1"/>
  <c r="C38" i="1"/>
  <c r="Q37" i="1"/>
  <c r="P37" i="1"/>
  <c r="O37" i="1"/>
  <c r="N37" i="1"/>
  <c r="C37" i="1"/>
  <c r="Q36" i="1"/>
  <c r="P36" i="1"/>
  <c r="O36" i="1"/>
  <c r="N36" i="1"/>
  <c r="C36" i="1"/>
  <c r="Q35" i="1"/>
  <c r="P35" i="1"/>
  <c r="O35" i="1"/>
  <c r="N35" i="1"/>
  <c r="C35" i="1"/>
  <c r="Q34" i="1"/>
  <c r="P34" i="1"/>
  <c r="O34" i="1"/>
  <c r="N34" i="1"/>
  <c r="C34" i="1"/>
  <c r="Q33" i="1"/>
  <c r="P33" i="1"/>
  <c r="O33" i="1"/>
  <c r="N33" i="1"/>
  <c r="C33" i="1"/>
  <c r="Q32" i="1"/>
  <c r="P32" i="1"/>
  <c r="O32" i="1"/>
  <c r="N32" i="1"/>
  <c r="C32" i="1"/>
  <c r="Q31" i="1"/>
  <c r="P31" i="1"/>
  <c r="O31" i="1"/>
  <c r="N31" i="1"/>
  <c r="C31" i="1"/>
  <c r="Q30" i="1"/>
  <c r="P30" i="1"/>
  <c r="O30" i="1"/>
  <c r="N30" i="1"/>
  <c r="C30" i="1"/>
  <c r="Q29" i="1"/>
  <c r="P29" i="1"/>
  <c r="O29" i="1"/>
  <c r="N29" i="1"/>
  <c r="C29" i="1"/>
  <c r="Q28" i="1"/>
  <c r="P28" i="1"/>
  <c r="O28" i="1"/>
  <c r="N28" i="1"/>
  <c r="C28" i="1"/>
  <c r="Q27" i="1"/>
  <c r="P27" i="1"/>
  <c r="O27" i="1"/>
  <c r="N27" i="1"/>
  <c r="C27" i="1"/>
  <c r="Q26" i="1"/>
  <c r="P26" i="1"/>
  <c r="O26" i="1"/>
  <c r="N26" i="1"/>
  <c r="C26" i="1"/>
  <c r="Q25" i="1"/>
  <c r="P25" i="1"/>
  <c r="O25" i="1"/>
  <c r="N25" i="1"/>
  <c r="C25" i="1"/>
  <c r="Q24" i="1"/>
  <c r="P24" i="1"/>
  <c r="O24" i="1"/>
  <c r="N24" i="1"/>
  <c r="C24" i="1"/>
  <c r="Q23" i="1"/>
  <c r="P23" i="1"/>
  <c r="O23" i="1"/>
  <c r="N23" i="1"/>
  <c r="C23" i="1"/>
  <c r="Q22" i="1"/>
  <c r="P22" i="1"/>
  <c r="O22" i="1"/>
  <c r="N22" i="1"/>
  <c r="C22" i="1"/>
  <c r="Q21" i="1"/>
  <c r="P21" i="1"/>
  <c r="O21" i="1"/>
  <c r="N21" i="1"/>
  <c r="C21" i="1"/>
  <c r="Q20" i="1"/>
  <c r="P20" i="1"/>
  <c r="O20" i="1"/>
  <c r="N20" i="1"/>
  <c r="C20" i="1"/>
  <c r="Q19" i="1"/>
  <c r="P19" i="1"/>
  <c r="O19" i="1"/>
  <c r="N19" i="1"/>
  <c r="C19" i="1"/>
  <c r="Q18" i="1"/>
  <c r="P18" i="1"/>
  <c r="O18" i="1"/>
  <c r="N18" i="1"/>
  <c r="C18" i="1"/>
  <c r="Q17" i="1"/>
  <c r="P17" i="1"/>
  <c r="O17" i="1"/>
  <c r="N17" i="1"/>
  <c r="C17" i="1"/>
  <c r="Q16" i="1"/>
  <c r="P16" i="1"/>
  <c r="O16" i="1"/>
  <c r="N16" i="1"/>
  <c r="C16" i="1"/>
  <c r="Q15" i="1"/>
  <c r="P15" i="1"/>
  <c r="O15" i="1"/>
  <c r="N15" i="1"/>
  <c r="C15" i="1"/>
  <c r="Q14" i="1"/>
  <c r="P14" i="1"/>
  <c r="O14" i="1"/>
  <c r="N14" i="1"/>
  <c r="C14" i="1"/>
  <c r="Q13" i="1"/>
  <c r="P13" i="1"/>
  <c r="O13" i="1"/>
  <c r="N13" i="1"/>
  <c r="C13" i="1"/>
  <c r="Q12" i="1"/>
  <c r="P12" i="1"/>
  <c r="O12" i="1"/>
  <c r="N12" i="1"/>
  <c r="C12" i="1"/>
  <c r="Q11" i="1"/>
  <c r="P11" i="1"/>
  <c r="O11" i="1"/>
  <c r="N11" i="1"/>
  <c r="C11" i="1"/>
  <c r="Q10" i="1"/>
  <c r="P10" i="1"/>
  <c r="O10" i="1"/>
  <c r="N10" i="1"/>
  <c r="C10" i="1"/>
  <c r="Q9" i="1"/>
  <c r="P9" i="1"/>
  <c r="O9" i="1"/>
  <c r="N9" i="1"/>
  <c r="C9" i="1"/>
  <c r="Q8" i="1"/>
  <c r="P8" i="1"/>
  <c r="O8" i="1"/>
  <c r="N8" i="1"/>
  <c r="C8" i="1"/>
  <c r="Q7" i="1"/>
  <c r="P7" i="1"/>
  <c r="O7" i="1"/>
  <c r="N7" i="1"/>
  <c r="C7" i="1"/>
  <c r="Q6" i="1"/>
  <c r="P6" i="1"/>
  <c r="O6" i="1"/>
  <c r="N6" i="1"/>
  <c r="C6" i="1"/>
  <c r="Q5" i="1"/>
  <c r="P5" i="1"/>
  <c r="O5" i="1"/>
  <c r="N5" i="1"/>
  <c r="C5" i="1"/>
  <c r="Q4" i="1"/>
  <c r="P4" i="1"/>
  <c r="O4" i="1"/>
  <c r="N4" i="1"/>
  <c r="C4" i="1"/>
  <c r="Q3" i="1"/>
  <c r="P3" i="1"/>
  <c r="O3" i="1"/>
  <c r="N3" i="1"/>
  <c r="C3" i="1"/>
  <c r="Q2" i="1"/>
  <c r="P2" i="1"/>
  <c r="O2" i="1"/>
  <c r="N2" i="1"/>
  <c r="C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EFB8AA6-711B-4697-8A14-70A9506BCC9F}" keepAlive="1" name="Query - Table1" description="Connection to the 'Table1' query in the workbook." type="5" refreshedVersion="0" background="1" saveData="1">
    <dbPr connection="Provider=Microsoft.Mashup.OleDb.1;Data Source=$Workbook$;Location=Table1;Extended Properties=&quot;&quot;" command="SELECT * FROM [Table1]"/>
  </connection>
  <connection id="2" xr16:uid="{AB06FF75-D632-42C0-BFAD-8104B2C652CC}" keepAlive="1" name="Query - Table1 (10)" description="Connection to the 'Table1 (10)' query in the workbook." type="5" refreshedVersion="0" background="1" saveData="1">
    <dbPr connection="Provider=Microsoft.Mashup.OleDb.1;Data Source=$Workbook$;Location=&quot;Table1 (10)&quot;;Extended Properties=&quot;&quot;" command="SELECT * FROM [Table1 (10)]"/>
  </connection>
  <connection id="3" xr16:uid="{7BA7764C-B030-40BC-8D14-2986919B2A54}" keepAlive="1" name="Query - Table1 (11)" description="Connection to the 'Table1 (11)' query in the workbook." type="5" refreshedVersion="0" background="1" saveData="1">
    <dbPr connection="Provider=Microsoft.Mashup.OleDb.1;Data Source=$Workbook$;Location=&quot;Table1 (11)&quot;;Extended Properties=&quot;&quot;" command="SELECT * FROM [Table1 (11)]"/>
  </connection>
  <connection id="4" xr16:uid="{1126031C-1464-430C-846D-BE9B6A48FA8E}" keepAlive="1" name="Query - Table1 (12)" description="Connection to the 'Table1 (12)' query in the workbook." type="5" refreshedVersion="8" background="1" saveData="1">
    <dbPr connection="Provider=Microsoft.Mashup.OleDb.1;Data Source=$Workbook$;Location=&quot;Table1 (12)&quot;;Extended Properties=&quot;&quot;" command="SELECT * FROM [Table1 (12)]"/>
  </connection>
  <connection id="5" xr16:uid="{D5A530A0-75F0-47E5-B9E2-97F80F1328A4}" keepAlive="1" name="Query - Table1 (2)" description="Connection to the 'Table1 (2)' query in the workbook." type="5" refreshedVersion="0" background="1" saveData="1">
    <dbPr connection="Provider=Microsoft.Mashup.OleDb.1;Data Source=$Workbook$;Location=&quot;Table1 (2)&quot;;Extended Properties=&quot;&quot;" command="SELECT * FROM [Table1 (2)]"/>
  </connection>
  <connection id="6" xr16:uid="{41271A07-F2A7-4A79-AB23-596F1AE87DCA}" keepAlive="1" name="Query - Table1 (3)" description="Connection to the 'Table1 (3)' query in the workbook." type="5" refreshedVersion="8" background="1" saveData="1">
    <dbPr connection="Provider=Microsoft.Mashup.OleDb.1;Data Source=$Workbook$;Location=&quot;Table1 (3)&quot;;Extended Properties=&quot;&quot;" command="SELECT * FROM [Table1 (3)]"/>
  </connection>
  <connection id="7" xr16:uid="{D3086FD5-8BD9-4A66-950D-02482464731A}" keepAlive="1" name="Query - Table1 (4)" description="Connection to the 'Table1 (4)' query in the workbook." type="5" refreshedVersion="0" background="1" saveData="1">
    <dbPr connection="Provider=Microsoft.Mashup.OleDb.1;Data Source=$Workbook$;Location=&quot;Table1 (4)&quot;;Extended Properties=&quot;&quot;" command="SELECT * FROM [Table1 (4)]"/>
  </connection>
  <connection id="8" xr16:uid="{6D9B57EE-E9C1-4F05-8E9D-BB85F8B81DE6}" keepAlive="1" name="Query - Table1 (5)" description="Connection to the 'Table1 (5)' query in the workbook." type="5" refreshedVersion="0" background="1" saveData="1">
    <dbPr connection="Provider=Microsoft.Mashup.OleDb.1;Data Source=$Workbook$;Location=&quot;Table1 (5)&quot;;Extended Properties=&quot;&quot;" command="SELECT * FROM [Table1 (5)]"/>
  </connection>
  <connection id="9" xr16:uid="{1A985D61-368C-47D5-A77E-70CEC638550B}" keepAlive="1" name="Query - Table1 (6)" description="Connection to the 'Table1 (6)' query in the workbook." type="5" refreshedVersion="0" background="1" saveData="1">
    <dbPr connection="Provider=Microsoft.Mashup.OleDb.1;Data Source=$Workbook$;Location=&quot;Table1 (6)&quot;;Extended Properties=&quot;&quot;" command="SELECT * FROM [Table1 (6)]"/>
  </connection>
  <connection id="10" xr16:uid="{8F283A87-577A-40DB-AF45-8A9311744679}" keepAlive="1" name="Query - Table1 (7)" description="Connection to the 'Table1 (7)' query in the workbook." type="5" refreshedVersion="0" background="1" saveData="1">
    <dbPr connection="Provider=Microsoft.Mashup.OleDb.1;Data Source=$Workbook$;Location=&quot;Table1 (7)&quot;;Extended Properties=&quot;&quot;" command="SELECT * FROM [Table1 (7)]"/>
  </connection>
  <connection id="11" xr16:uid="{D4E2DB1A-9A3F-4226-867E-C2CC542C5FBA}" keepAlive="1" name="Query - Table1 (8)" description="Connection to the 'Table1 (8)' query in the workbook." type="5" refreshedVersion="0" background="1" saveData="1">
    <dbPr connection="Provider=Microsoft.Mashup.OleDb.1;Data Source=$Workbook$;Location=&quot;Table1 (8)&quot;;Extended Properties=&quot;&quot;" command="SELECT * FROM [Table1 (8)]"/>
  </connection>
  <connection id="12" xr16:uid="{06180A73-3DD8-49C8-972C-CB9D53D5E4D1}" keepAlive="1" name="Query - Table1 (9)" description="Connection to the 'Table1 (9)' query in the workbook." type="5" refreshedVersion="8" background="1" saveData="1">
    <dbPr connection="Provider=Microsoft.Mashup.OleDb.1;Data Source=$Workbook$;Location=&quot;Table1 (9)&quot;;Extended Properties=&quot;&quot;" command="SELECT * FROM [Table1 (9)]"/>
  </connection>
</connections>
</file>

<file path=xl/sharedStrings.xml><?xml version="1.0" encoding="utf-8"?>
<sst xmlns="http://schemas.openxmlformats.org/spreadsheetml/2006/main" count="1795" uniqueCount="281">
  <si>
    <t>Institution_ID</t>
  </si>
  <si>
    <t>Bank_Name</t>
  </si>
  <si>
    <t>Year</t>
  </si>
  <si>
    <t>Total_Revenue (£m)</t>
  </si>
  <si>
    <t>Interest_Income (£m)</t>
  </si>
  <si>
    <t>Operating_Expenses (£m)</t>
  </si>
  <si>
    <t>Net_Profit (£m)</t>
  </si>
  <si>
    <t>Reported_Fraud_Losses (£m)</t>
  </si>
  <si>
    <t>Suspicious_Transactions</t>
  </si>
  <si>
    <t>Customer_Complaints</t>
  </si>
  <si>
    <t>Risk_Rating</t>
  </si>
  <si>
    <t>Data_Quality_Flag</t>
  </si>
  <si>
    <t>UKFI-100001</t>
  </si>
  <si>
    <t>UKFI-100002</t>
  </si>
  <si>
    <t>UKFI-100003</t>
  </si>
  <si>
    <t>UKFI-100004</t>
  </si>
  <si>
    <t>UKFI-100005</t>
  </si>
  <si>
    <t>UKFI-100006</t>
  </si>
  <si>
    <t>UKFI-100007</t>
  </si>
  <si>
    <t>UKFI-100008</t>
  </si>
  <si>
    <t>UKFI-100009</t>
  </si>
  <si>
    <t>UKFI-100010</t>
  </si>
  <si>
    <t>UKFI-100011</t>
  </si>
  <si>
    <t>UKFI-100012</t>
  </si>
  <si>
    <t>UKFI-100013</t>
  </si>
  <si>
    <t>UKFI-100014</t>
  </si>
  <si>
    <t>UKFI-100015</t>
  </si>
  <si>
    <t>UKFI-100016</t>
  </si>
  <si>
    <t>UKFI-100017</t>
  </si>
  <si>
    <t>UKFI-100018</t>
  </si>
  <si>
    <t>UKFI-100019</t>
  </si>
  <si>
    <t>UKFI-100020</t>
  </si>
  <si>
    <t>UKFI-100021</t>
  </si>
  <si>
    <t>UKFI-100022</t>
  </si>
  <si>
    <t>UKFI-100023</t>
  </si>
  <si>
    <t>UKFI-100024</t>
  </si>
  <si>
    <t>UKFI-100025</t>
  </si>
  <si>
    <t>UKFI-100026</t>
  </si>
  <si>
    <t>UKFI-100027</t>
  </si>
  <si>
    <t>UKFI-100028</t>
  </si>
  <si>
    <t>UKFI-100029</t>
  </si>
  <si>
    <t>UKFI-100030</t>
  </si>
  <si>
    <t>UKFI-100031</t>
  </si>
  <si>
    <t>UKFI-100032</t>
  </si>
  <si>
    <t>UKFI-100033</t>
  </si>
  <si>
    <t>UKFI-100034</t>
  </si>
  <si>
    <t>UKFI-100035</t>
  </si>
  <si>
    <t>UKFI-100036</t>
  </si>
  <si>
    <t>UKFI-100037</t>
  </si>
  <si>
    <t>UKFI-100038</t>
  </si>
  <si>
    <t>UKFI-100039</t>
  </si>
  <si>
    <t>UKFI-100040</t>
  </si>
  <si>
    <t>UKFI-100041</t>
  </si>
  <si>
    <t>UKFI-100042</t>
  </si>
  <si>
    <t>UKFI-100043</t>
  </si>
  <si>
    <t>UKFI-100044</t>
  </si>
  <si>
    <t>UKFI-100045</t>
  </si>
  <si>
    <t>UKFI-100046</t>
  </si>
  <si>
    <t>UKFI-100047</t>
  </si>
  <si>
    <t>UKFI-100048</t>
  </si>
  <si>
    <t>UKFI-100049</t>
  </si>
  <si>
    <t>UKFI-100050</t>
  </si>
  <si>
    <t>UKFI-100051</t>
  </si>
  <si>
    <t>UKFI-100052</t>
  </si>
  <si>
    <t>UKFI-100053</t>
  </si>
  <si>
    <t>UKFI-100054</t>
  </si>
  <si>
    <t>UKFI-100055</t>
  </si>
  <si>
    <t>UKFI-100056</t>
  </si>
  <si>
    <t>UKFI-100057</t>
  </si>
  <si>
    <t>UKFI-100058</t>
  </si>
  <si>
    <t>UKFI-100059</t>
  </si>
  <si>
    <t>UKFI-100060</t>
  </si>
  <si>
    <t>UKFI-100061</t>
  </si>
  <si>
    <t>UKFI-100062</t>
  </si>
  <si>
    <t>UKFI-100063</t>
  </si>
  <si>
    <t>UKFI-100064</t>
  </si>
  <si>
    <t>UKFI-100065</t>
  </si>
  <si>
    <t>UKFI-100066</t>
  </si>
  <si>
    <t>UKFI-100067</t>
  </si>
  <si>
    <t>UKFI-100068</t>
  </si>
  <si>
    <t>UKFI-100069</t>
  </si>
  <si>
    <t>UKFI-100070</t>
  </si>
  <si>
    <t>UKFI-100071</t>
  </si>
  <si>
    <t>UKFI-100072</t>
  </si>
  <si>
    <t>UKFI-100073</t>
  </si>
  <si>
    <t>UKFI-100074</t>
  </si>
  <si>
    <t>UKFI-100075</t>
  </si>
  <si>
    <t>UKFI-100076</t>
  </si>
  <si>
    <t>UKFI-100077</t>
  </si>
  <si>
    <t>UKFI-100078</t>
  </si>
  <si>
    <t>UKFI-100079</t>
  </si>
  <si>
    <t>UKFI-100080</t>
  </si>
  <si>
    <t>UKFI-100081</t>
  </si>
  <si>
    <t>UKFI-100082</t>
  </si>
  <si>
    <t>UKFI-100083</t>
  </si>
  <si>
    <t>UKFI-100084</t>
  </si>
  <si>
    <t>UKFI-100085</t>
  </si>
  <si>
    <t>UKFI-100086</t>
  </si>
  <si>
    <t>UKFI-100087</t>
  </si>
  <si>
    <t>UKFI-100088</t>
  </si>
  <si>
    <t>UKFI-100089</t>
  </si>
  <si>
    <t>UKFI-100090</t>
  </si>
  <si>
    <t>UKFI-100091</t>
  </si>
  <si>
    <t>UKFI-100092</t>
  </si>
  <si>
    <t>UKFI-100093</t>
  </si>
  <si>
    <t>UKFI-100094</t>
  </si>
  <si>
    <t>UKFI-100095</t>
  </si>
  <si>
    <t>UKFI-100096</t>
  </si>
  <si>
    <t>UKFI-100097</t>
  </si>
  <si>
    <t>UKFI-100098</t>
  </si>
  <si>
    <t>UKFI-100099</t>
  </si>
  <si>
    <t>UKFI-100100</t>
  </si>
  <si>
    <t>UKFI-100101</t>
  </si>
  <si>
    <t>UKFI-100102</t>
  </si>
  <si>
    <t>UKFI-100103</t>
  </si>
  <si>
    <t>UKFI-100104</t>
  </si>
  <si>
    <t>UKFI-100105</t>
  </si>
  <si>
    <t>UKFI-100106</t>
  </si>
  <si>
    <t>UKFI-100107</t>
  </si>
  <si>
    <t>UKFI-100108</t>
  </si>
  <si>
    <t>UKFI-100109</t>
  </si>
  <si>
    <t>UKFI-100110</t>
  </si>
  <si>
    <t>UKFI-100111</t>
  </si>
  <si>
    <t>UKFI-100112</t>
  </si>
  <si>
    <t>UKFI-100113</t>
  </si>
  <si>
    <t>UKFI-100114</t>
  </si>
  <si>
    <t>UKFI-100115</t>
  </si>
  <si>
    <t>UKFI-100116</t>
  </si>
  <si>
    <t>UKFI-100117</t>
  </si>
  <si>
    <t>UKFI-100118</t>
  </si>
  <si>
    <t>UKFI-100119</t>
  </si>
  <si>
    <t>UKFI-100120</t>
  </si>
  <si>
    <t>UKFI-100121</t>
  </si>
  <si>
    <t>UKFI-100122</t>
  </si>
  <si>
    <t>UKFI-100123</t>
  </si>
  <si>
    <t>UKFI-100124</t>
  </si>
  <si>
    <t>UKFI-100125</t>
  </si>
  <si>
    <t>UKFI-100126</t>
  </si>
  <si>
    <t>UKFI-100127</t>
  </si>
  <si>
    <t>UKFI-100128</t>
  </si>
  <si>
    <t>UKFI-100129</t>
  </si>
  <si>
    <t>UKFI-100130</t>
  </si>
  <si>
    <t>UKFI-100131</t>
  </si>
  <si>
    <t>UKFI-100132</t>
  </si>
  <si>
    <t>UKFI-100133</t>
  </si>
  <si>
    <t>UKFI-100134</t>
  </si>
  <si>
    <t>UKFI-100135</t>
  </si>
  <si>
    <t>UKFI-100136</t>
  </si>
  <si>
    <t>UKFI-100137</t>
  </si>
  <si>
    <t>UKFI-100138</t>
  </si>
  <si>
    <t>UKFI-100139</t>
  </si>
  <si>
    <t>UKFI-100140</t>
  </si>
  <si>
    <t>UKFI-100141</t>
  </si>
  <si>
    <t>UKFI-100142</t>
  </si>
  <si>
    <t>UKFI-100143</t>
  </si>
  <si>
    <t>UKFI-100144</t>
  </si>
  <si>
    <t>UKFI-100145</t>
  </si>
  <si>
    <t>UKFI-100146</t>
  </si>
  <si>
    <t>UKFI-100147</t>
  </si>
  <si>
    <t>UKFI-100148</t>
  </si>
  <si>
    <t>UKFI-100149</t>
  </si>
  <si>
    <t>UKFI-100150</t>
  </si>
  <si>
    <t>UKFI-100151</t>
  </si>
  <si>
    <t>UKFI-100152</t>
  </si>
  <si>
    <t>UKFI-100153</t>
  </si>
  <si>
    <t>UKFI-100154</t>
  </si>
  <si>
    <t>UKFI-100155</t>
  </si>
  <si>
    <t>UKFI-100156</t>
  </si>
  <si>
    <t>UKFI-100157</t>
  </si>
  <si>
    <t>UKFI-100158</t>
  </si>
  <si>
    <t>UKFI-100159</t>
  </si>
  <si>
    <t>UKFI-100160</t>
  </si>
  <si>
    <t>UKFI-100161</t>
  </si>
  <si>
    <t>UKFI-100162</t>
  </si>
  <si>
    <t>UKFI-100163</t>
  </si>
  <si>
    <t>UKFI-100164</t>
  </si>
  <si>
    <t>UKFI-100165</t>
  </si>
  <si>
    <t>UKFI-100166</t>
  </si>
  <si>
    <t>UKFI-100167</t>
  </si>
  <si>
    <t>UKFI-100168</t>
  </si>
  <si>
    <t>UKFI-100169</t>
  </si>
  <si>
    <t>UKFI-100170</t>
  </si>
  <si>
    <t>UKFI-100171</t>
  </si>
  <si>
    <t>UKFI-100172</t>
  </si>
  <si>
    <t>UKFI-100173</t>
  </si>
  <si>
    <t>UKFI-100174</t>
  </si>
  <si>
    <t>UKFI-100175</t>
  </si>
  <si>
    <t>UKFI-100176</t>
  </si>
  <si>
    <t>UKFI-100177</t>
  </si>
  <si>
    <t>UKFI-100178</t>
  </si>
  <si>
    <t>UKFI-100179</t>
  </si>
  <si>
    <t>UKFI-100180</t>
  </si>
  <si>
    <t>UKFI-100181</t>
  </si>
  <si>
    <t>UKFI-100182</t>
  </si>
  <si>
    <t>UKFI-100183</t>
  </si>
  <si>
    <t>UKFI-100184</t>
  </si>
  <si>
    <t>UKFI-100185</t>
  </si>
  <si>
    <t>UKFI-100186</t>
  </si>
  <si>
    <t>UKFI-100187</t>
  </si>
  <si>
    <t>UKFI-100188</t>
  </si>
  <si>
    <t>UKFI-100189</t>
  </si>
  <si>
    <t>UKFI-100190</t>
  </si>
  <si>
    <t>UKFI-100191</t>
  </si>
  <si>
    <t>UKFI-100192</t>
  </si>
  <si>
    <t>UKFI-100193</t>
  </si>
  <si>
    <t>UKFI-100194</t>
  </si>
  <si>
    <t>UKFI-100195</t>
  </si>
  <si>
    <t>UKFI-100196</t>
  </si>
  <si>
    <t>UKFI-100197</t>
  </si>
  <si>
    <t>UKFI-100198</t>
  </si>
  <si>
    <t>UKFI-100199</t>
  </si>
  <si>
    <t>UKFI-100200</t>
  </si>
  <si>
    <t>HSBC UK</t>
  </si>
  <si>
    <t>Barclays PLC</t>
  </si>
  <si>
    <t>BARCLAYS PLC</t>
  </si>
  <si>
    <t>Lloyds Banking Grp</t>
  </si>
  <si>
    <t>LLOYDS BANKING GRP</t>
  </si>
  <si>
    <t>NatWest Group</t>
  </si>
  <si>
    <t>Santander UK</t>
  </si>
  <si>
    <t>SANTANDER UK</t>
  </si>
  <si>
    <t>Standard Chartered</t>
  </si>
  <si>
    <t>STANDARD CHARTERED</t>
  </si>
  <si>
    <t>Nationwide Bldg Soc</t>
  </si>
  <si>
    <t>Metro Bank</t>
  </si>
  <si>
    <t>METRO BANK</t>
  </si>
  <si>
    <t>Virgin Money UK</t>
  </si>
  <si>
    <t>VIRGIN MONEY UK</t>
  </si>
  <si>
    <t>Tesco Bank</t>
  </si>
  <si>
    <t>TSB Bank</t>
  </si>
  <si>
    <t>TSB BANK</t>
  </si>
  <si>
    <t>Close Brothers</t>
  </si>
  <si>
    <t>CLOSE BROTHERS</t>
  </si>
  <si>
    <t>Paragon Bank</t>
  </si>
  <si>
    <t>PARAGON BANK</t>
  </si>
  <si>
    <t>Aldermore Bank</t>
  </si>
  <si>
    <t>Coventry Bldg Soc</t>
  </si>
  <si>
    <t>Skipton Bldg Soc</t>
  </si>
  <si>
    <t>Atom bank</t>
  </si>
  <si>
    <t>ATOM BANK</t>
  </si>
  <si>
    <t>Monzo</t>
  </si>
  <si>
    <t>Starling bank</t>
  </si>
  <si>
    <t>STARLING BANK</t>
  </si>
  <si>
    <t>Revolut UK</t>
  </si>
  <si>
    <t>2015</t>
  </si>
  <si>
    <t>2019</t>
  </si>
  <si>
    <t>2020</t>
  </si>
  <si>
    <t>2017</t>
  </si>
  <si>
    <t>2024</t>
  </si>
  <si>
    <t>2021</t>
  </si>
  <si>
    <t>N/A</t>
  </si>
  <si>
    <t>Low</t>
  </si>
  <si>
    <t>High</t>
  </si>
  <si>
    <t>high</t>
  </si>
  <si>
    <t>Medium</t>
  </si>
  <si>
    <t>LOW</t>
  </si>
  <si>
    <t>OK</t>
  </si>
  <si>
    <t>Missing</t>
  </si>
  <si>
    <t>Review</t>
  </si>
  <si>
    <t>Atom Bank</t>
  </si>
  <si>
    <t>Row Labels</t>
  </si>
  <si>
    <t>Grand Total</t>
  </si>
  <si>
    <t>Sum of Net_Profit (£m)</t>
  </si>
  <si>
    <t>Sum of Reported_Fraud_Losses (£m)</t>
  </si>
  <si>
    <t xml:space="preserve">Cost to income ratio </t>
  </si>
  <si>
    <t xml:space="preserve">Sum of Cost to income ratio </t>
  </si>
  <si>
    <t>interest income dependency</t>
  </si>
  <si>
    <t>Sum of interest income dependency</t>
  </si>
  <si>
    <t>Bank_Type</t>
  </si>
  <si>
    <t>Monzo Bank</t>
  </si>
  <si>
    <t>Starling Bank</t>
  </si>
  <si>
    <t>Digital</t>
  </si>
  <si>
    <t>Traditional</t>
  </si>
  <si>
    <t>Fraud_loss_ratio</t>
  </si>
  <si>
    <t>Sum of Fraud_loss_ratio</t>
  </si>
  <si>
    <t>Suspicious</t>
  </si>
  <si>
    <t>sum</t>
  </si>
  <si>
    <t xml:space="preserve">Average of Cost to income ratio </t>
  </si>
  <si>
    <t>Average of Suspicious_Transactions</t>
  </si>
  <si>
    <t>Max of Fraud_loss_ratio</t>
  </si>
  <si>
    <t>Average of interest income dependency</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</si>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</sst>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809]* #,##0.00_-;\-[$£-809]* #,##0.00_-;_-[$£-809]* &quot;-&quot;??_-;_-@_-"/>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2">
    <xf numFmtId="0" fontId="0" fillId="0" borderId="0"/>
    <xf numFmtId="9" fontId="2" fillId="0" borderId="0" applyFont="0" applyFill="0" applyBorder="0" applyAlignment="0" applyProtection="0"/>
  </cellStyleXfs>
  <cellXfs count="9">
    <xf numFmtId="0" fontId="0" fillId="0" borderId="0" xfId="0"/>
    <xf numFmtId="164" fontId="0" fillId="0" borderId="0" xfId="0" applyNumberFormat="1"/>
    <xf numFmtId="0" fontId="1" fillId="0" borderId="1" xfId="0" applyFont="1" applyBorder="1" applyAlignment="1">
      <alignment horizontal="center" vertical="top"/>
    </xf>
    <xf numFmtId="3" fontId="0" fillId="0" borderId="0" xfId="0" applyNumberFormat="1"/>
    <xf numFmtId="0" fontId="1" fillId="0" borderId="2" xfId="0" applyFont="1" applyBorder="1" applyAlignment="1">
      <alignment horizontal="center" vertical="top"/>
    </xf>
    <xf numFmtId="0" fontId="0" fillId="0" borderId="0" xfId="0" pivotButton="1"/>
    <xf numFmtId="0" fontId="0" fillId="0" borderId="0" xfId="0" applyAlignment="1">
      <alignment horizontal="left"/>
    </xf>
    <xf numFmtId="10" fontId="0" fillId="0" borderId="0" xfId="0" applyNumberFormat="1"/>
    <xf numFmtId="10" fontId="0" fillId="0" borderId="0" xfId="1" applyNumberFormat="1" applyFont="1"/>
  </cellXfs>
  <cellStyles count="2">
    <cellStyle name="Normal" xfId="0" builtinId="0"/>
    <cellStyle name="Percent" xfId="1" builtinId="5"/>
  </cellStyles>
  <dxfs count="21">
    <dxf>
      <font>
        <color rgb="FF9C0006"/>
      </font>
      <fill>
        <patternFill>
          <bgColor rgb="FFFFC7CE"/>
        </patternFill>
      </fill>
    </dxf>
    <dxf>
      <numFmt numFmtId="14" formatCode="0.00%"/>
    </dxf>
    <dxf>
      <numFmt numFmtId="0" formatCode="General"/>
    </dxf>
    <dxf>
      <numFmt numFmtId="0" formatCode="General"/>
    </dxf>
    <dxf>
      <numFmt numFmtId="14" formatCode="0.00%"/>
    </dxf>
    <dxf>
      <numFmt numFmtId="3" formatCode="#,##0"/>
    </dxf>
    <dxf>
      <numFmt numFmtId="3" formatCode="#,##0"/>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4" formatCode="0.00%"/>
    </dxf>
    <dxf>
      <numFmt numFmtId="14" formatCode="0.00%"/>
    </dxf>
    <dxf>
      <numFmt numFmtId="14" formatCode="0.00%"/>
    </dxf>
    <dxf>
      <numFmt numFmtId="14" formatCode="0.00%"/>
    </dxf>
    <dxf>
      <numFmt numFmtId="164" formatCode="_-[$£-809]* #,##0.00_-;\-[$£-809]* #,##0.00_-;_-[$£-809]* &quot;-&quot;??_-;_-@_-"/>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[UK_Financial_Institutions_Fraud_Dataset.xlsx]Pivot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Top 10 Banks</a:t>
            </a:r>
            <a:r>
              <a:rPr lang="en-US" b="1" baseline="0">
                <a:solidFill>
                  <a:sysClr val="windowText" lastClr="000000"/>
                </a:solidFill>
              </a:rPr>
              <a:t> Net Profit</a:t>
            </a:r>
            <a:endParaRPr lang="en-US" b="1">
              <a:solidFill>
                <a:sysClr val="windowText" lastClr="000000"/>
              </a:solidFill>
            </a:endParaRPr>
          </a:p>
        </c:rich>
      </c:tx>
      <c:overlay val="0"/>
      <c:spPr>
        <a:solidFill>
          <a:schemeClr val="accent3">
            <a:lumMod val="60000"/>
            <a:lumOff val="40000"/>
            <a:alpha val="80000"/>
          </a:schemeClr>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28575" cap="rnd">
              <a:solidFill>
                <a:srgbClr val="00B050"/>
              </a:solidFill>
              <a:round/>
            </a:ln>
            <a:effectLst/>
          </c:spPr>
          <c:marker>
            <c:symbol val="none"/>
          </c:marker>
          <c:cat>
            <c:strRef>
              <c:f>'Pivot table'!$A$4:$A$14</c:f>
              <c:strCache>
                <c:ptCount val="10"/>
                <c:pt idx="0">
                  <c:v>Coventry Bldg Soc</c:v>
                </c:pt>
                <c:pt idx="1">
                  <c:v>Barclays PLC</c:v>
                </c:pt>
                <c:pt idx="2">
                  <c:v>HSBC UK</c:v>
                </c:pt>
                <c:pt idx="3">
                  <c:v>Virgin Money UK</c:v>
                </c:pt>
                <c:pt idx="4">
                  <c:v>NatWest Group</c:v>
                </c:pt>
                <c:pt idx="5">
                  <c:v>Skipton Bldg Soc</c:v>
                </c:pt>
                <c:pt idx="6">
                  <c:v>Nationwide Bldg Soc</c:v>
                </c:pt>
                <c:pt idx="7">
                  <c:v>Santander UK</c:v>
                </c:pt>
                <c:pt idx="8">
                  <c:v>TSB Bank</c:v>
                </c:pt>
                <c:pt idx="9">
                  <c:v>Atom Bank</c:v>
                </c:pt>
              </c:strCache>
            </c:strRef>
          </c:cat>
          <c:val>
            <c:numRef>
              <c:f>'Pivot table'!$B$4:$B$14</c:f>
              <c:numCache>
                <c:formatCode>_-[$£-809]* #,##0.00_-;\-[$£-809]* #,##0.00_-;_-[$£-809]* "-"??_-;_-@_-</c:formatCode>
                <c:ptCount val="10"/>
                <c:pt idx="0">
                  <c:v>50393.539999999994</c:v>
                </c:pt>
                <c:pt idx="1">
                  <c:v>49977.179999999993</c:v>
                </c:pt>
                <c:pt idx="2">
                  <c:v>49751.86</c:v>
                </c:pt>
                <c:pt idx="3">
                  <c:v>45274.509999999995</c:v>
                </c:pt>
                <c:pt idx="4">
                  <c:v>41056.589999999997</c:v>
                </c:pt>
                <c:pt idx="5">
                  <c:v>40478.42</c:v>
                </c:pt>
                <c:pt idx="6">
                  <c:v>40258.589999999997</c:v>
                </c:pt>
                <c:pt idx="7">
                  <c:v>35950.399999999994</c:v>
                </c:pt>
                <c:pt idx="8">
                  <c:v>34632.25</c:v>
                </c:pt>
                <c:pt idx="9">
                  <c:v>33812.89</c:v>
                </c:pt>
              </c:numCache>
            </c:numRef>
          </c:val>
          <c:smooth val="0"/>
          <c:extLst>
            <c:ext xmlns:c16="http://schemas.microsoft.com/office/drawing/2014/chart" uri="{C3380CC4-5D6E-409C-BE32-E72D297353CC}">
              <c16:uniqueId val="{00000000-794B-4BB4-A032-3C3907D35EB5}"/>
            </c:ext>
          </c:extLst>
        </c:ser>
        <c:dLbls>
          <c:showLegendKey val="0"/>
          <c:showVal val="0"/>
          <c:showCatName val="0"/>
          <c:showSerName val="0"/>
          <c:showPercent val="0"/>
          <c:showBubbleSize val="0"/>
        </c:dLbls>
        <c:smooth val="0"/>
        <c:axId val="1803123343"/>
        <c:axId val="1803124303"/>
      </c:lineChart>
      <c:catAx>
        <c:axId val="1803123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803124303"/>
        <c:crosses val="autoZero"/>
        <c:auto val="1"/>
        <c:lblAlgn val="ctr"/>
        <c:lblOffset val="100"/>
        <c:noMultiLvlLbl val="0"/>
      </c:catAx>
      <c:valAx>
        <c:axId val="1803124303"/>
        <c:scaling>
          <c:orientation val="minMax"/>
        </c:scaling>
        <c:delete val="0"/>
        <c:axPos val="l"/>
        <c:majorGridlines>
          <c:spPr>
            <a:ln w="9525" cap="flat" cmpd="sng" algn="ctr">
              <a:solidFill>
                <a:schemeClr val="tx1">
                  <a:lumMod val="15000"/>
                  <a:lumOff val="85000"/>
                </a:schemeClr>
              </a:solidFill>
              <a:round/>
            </a:ln>
            <a:effectLst/>
          </c:spPr>
        </c:majorGridlines>
        <c:numFmt formatCode="_-[$£-809]* #,##0.00_-;\-[$£-809]* #,##0.0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803123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[UK_Financial_Institutions_Fraud_Dataset.xlsx]Pivot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Top</a:t>
            </a:r>
            <a:r>
              <a:rPr lang="en-US" b="1" baseline="0">
                <a:solidFill>
                  <a:sysClr val="windowText" lastClr="000000"/>
                </a:solidFill>
              </a:rPr>
              <a:t> 10 Banks Cost to income ratio</a:t>
            </a:r>
            <a:endParaRPr lang="en-US" b="1">
              <a:solidFill>
                <a:sysClr val="windowText" lastClr="000000"/>
              </a:solidFill>
            </a:endParaRPr>
          </a:p>
        </c:rich>
      </c:tx>
      <c:overlay val="0"/>
      <c:spPr>
        <a:solidFill>
          <a:schemeClr val="accent3">
            <a:lumMod val="60000"/>
            <a:lumOff val="40000"/>
            <a:alpha val="80000"/>
          </a:schemeClr>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table'!$B$27</c:f>
              <c:strCache>
                <c:ptCount val="1"/>
                <c:pt idx="0">
                  <c:v>Total</c:v>
                </c:pt>
              </c:strCache>
            </c:strRef>
          </c:tx>
          <c:spPr>
            <a:solidFill>
              <a:srgbClr val="00B050"/>
            </a:solidFill>
            <a:ln>
              <a:noFill/>
            </a:ln>
            <a:effectLst/>
          </c:spPr>
          <c:invertIfNegative val="0"/>
          <c:cat>
            <c:strRef>
              <c:f>'Pivot table'!$A$28:$A$38</c:f>
              <c:strCache>
                <c:ptCount val="10"/>
                <c:pt idx="0">
                  <c:v>Standard Chartered</c:v>
                </c:pt>
                <c:pt idx="1">
                  <c:v>Nationwide Bldg Soc</c:v>
                </c:pt>
                <c:pt idx="2">
                  <c:v>Aldermore Bank</c:v>
                </c:pt>
                <c:pt idx="3">
                  <c:v>Close Brothers</c:v>
                </c:pt>
                <c:pt idx="4">
                  <c:v>TSB Bank</c:v>
                </c:pt>
                <c:pt idx="5">
                  <c:v>Santander UK</c:v>
                </c:pt>
                <c:pt idx="6">
                  <c:v>Barclays PLC</c:v>
                </c:pt>
                <c:pt idx="7">
                  <c:v>Monzo Bank</c:v>
                </c:pt>
                <c:pt idx="8">
                  <c:v>HSBC UK</c:v>
                </c:pt>
                <c:pt idx="9">
                  <c:v>Lloyds Banking Grp</c:v>
                </c:pt>
              </c:strCache>
            </c:strRef>
          </c:cat>
          <c:val>
            <c:numRef>
              <c:f>'Pivot table'!$B$28:$B$38</c:f>
              <c:numCache>
                <c:formatCode>0.00%</c:formatCode>
                <c:ptCount val="10"/>
                <c:pt idx="0">
                  <c:v>6.3942110382774281E-2</c:v>
                </c:pt>
                <c:pt idx="1">
                  <c:v>6.6505741196672186E-2</c:v>
                </c:pt>
                <c:pt idx="2">
                  <c:v>7.5234983969806157E-2</c:v>
                </c:pt>
                <c:pt idx="3">
                  <c:v>8.456926039076107E-2</c:v>
                </c:pt>
                <c:pt idx="4">
                  <c:v>8.801345559570066E-2</c:v>
                </c:pt>
                <c:pt idx="5">
                  <c:v>8.9450449108225374E-2</c:v>
                </c:pt>
                <c:pt idx="6">
                  <c:v>8.9713822720339065E-2</c:v>
                </c:pt>
                <c:pt idx="7">
                  <c:v>9.6565930060048502E-2</c:v>
                </c:pt>
                <c:pt idx="8">
                  <c:v>0.14885773049692128</c:v>
                </c:pt>
                <c:pt idx="9">
                  <c:v>0.1971465160787515</c:v>
                </c:pt>
              </c:numCache>
            </c:numRef>
          </c:val>
          <c:extLst>
            <c:ext xmlns:c16="http://schemas.microsoft.com/office/drawing/2014/chart" uri="{C3380CC4-5D6E-409C-BE32-E72D297353CC}">
              <c16:uniqueId val="{00000000-B574-4562-9F50-EEFD81EDFD8E}"/>
            </c:ext>
          </c:extLst>
        </c:ser>
        <c:dLbls>
          <c:showLegendKey val="0"/>
          <c:showVal val="0"/>
          <c:showCatName val="0"/>
          <c:showSerName val="0"/>
          <c:showPercent val="0"/>
          <c:showBubbleSize val="0"/>
        </c:dLbls>
        <c:gapWidth val="182"/>
        <c:axId val="1311571599"/>
        <c:axId val="1311573519"/>
      </c:barChart>
      <c:catAx>
        <c:axId val="1311571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311573519"/>
        <c:crosses val="autoZero"/>
        <c:auto val="1"/>
        <c:lblAlgn val="ctr"/>
        <c:lblOffset val="100"/>
        <c:noMultiLvlLbl val="0"/>
      </c:catAx>
      <c:valAx>
        <c:axId val="1311573519"/>
        <c:scaling>
          <c:orientation val="minMax"/>
          <c:min val="5.000000000000001E-2"/>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311571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[UK_Financial_Institutions_Fraud_Dataset.xlsx]Pivot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Interest income dependency Trend</a:t>
            </a:r>
          </a:p>
        </c:rich>
      </c:tx>
      <c:overlay val="0"/>
      <c:spPr>
        <a:solidFill>
          <a:schemeClr val="accent3">
            <a:lumMod val="60000"/>
            <a:lumOff val="40000"/>
            <a:alpha val="80000"/>
          </a:schemeClr>
        </a:solidFill>
        <a:ln>
          <a:solidFill>
            <a:schemeClr val="tx1"/>
          </a:solidFill>
        </a:ln>
        <a:effectLst>
          <a:outerShdw blurRad="50800" dist="38100" dir="2700000" algn="tl" rotWithShape="0">
            <a:prstClr val="black">
              <a:alpha val="40000"/>
            </a:prstClr>
          </a:outerShdw>
        </a:effectLst>
      </c:spPr>
    </c:title>
    <c:autoTitleDeleted val="0"/>
    <c:pivotFmts>
      <c:pivotFmt>
        <c:idx val="0"/>
        <c:spPr>
          <a:solidFill>
            <a:srgbClr val="00B050"/>
          </a:solidFill>
          <a:ln>
            <a:noFill/>
          </a:ln>
          <a:effectLst/>
        </c:spPr>
        <c:marker>
          <c:symbol val="none"/>
        </c:marker>
        <c:dLbl>
          <c:idx val="0"/>
          <c:delete val="1"/>
          <c:extLst>
            <c:ext xmlns:c15="http://schemas.microsoft.com/office/drawing/2012/chart" uri="{CE6537A1-D6FC-4f65-9D91-7224C49458BB}"/>
          </c:extLst>
        </c:dLbl>
      </c:pivotFmt>
      <c:pivotFmt>
        <c:idx val="1"/>
        <c:spPr>
          <a:solidFill>
            <a:srgbClr val="00B050"/>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00B050"/>
          </a:solidFill>
          <a:ln>
            <a:noFill/>
          </a:ln>
          <a:effectLst/>
        </c:spPr>
        <c:marker>
          <c:symbol val="none"/>
        </c:marker>
        <c:dLbl>
          <c:idx val="0"/>
          <c:delete val="1"/>
          <c:extLst>
            <c:ext xmlns:c15="http://schemas.microsoft.com/office/drawing/2012/chart" uri="{CE6537A1-D6FC-4f65-9D91-7224C49458BB}"/>
          </c:extLst>
        </c:dLbl>
      </c:pivotFmt>
      <c:pivotFmt>
        <c:idx val="3"/>
        <c:spPr>
          <a:ln>
            <a:solidFill>
              <a:srgbClr val="00B050"/>
            </a:solidFill>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 table'!$B$51</c:f>
              <c:strCache>
                <c:ptCount val="1"/>
                <c:pt idx="0">
                  <c:v>Total</c:v>
                </c:pt>
              </c:strCache>
            </c:strRef>
          </c:tx>
          <c:spPr>
            <a:ln>
              <a:solidFill>
                <a:srgbClr val="00B050"/>
              </a:solidFill>
            </a:ln>
            <a:effectLst/>
          </c:spPr>
          <c:marker>
            <c:symbol val="none"/>
          </c:marker>
          <c:cat>
            <c:strRef>
              <c:f>'Pivot table'!$A$52:$A$62</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 table'!$B$52:$B$62</c:f>
              <c:numCache>
                <c:formatCode>0.00%</c:formatCode>
                <c:ptCount val="10"/>
                <c:pt idx="0">
                  <c:v>0.10587401342345577</c:v>
                </c:pt>
                <c:pt idx="1">
                  <c:v>0.10728436878075412</c:v>
                </c:pt>
                <c:pt idx="2">
                  <c:v>4.4784885039714506E-2</c:v>
                </c:pt>
                <c:pt idx="3">
                  <c:v>5.2853246294013889E-2</c:v>
                </c:pt>
                <c:pt idx="4">
                  <c:v>0.19583463430965015</c:v>
                </c:pt>
                <c:pt idx="5">
                  <c:v>0.12110332034295825</c:v>
                </c:pt>
                <c:pt idx="6">
                  <c:v>8.2682245748998823E-2</c:v>
                </c:pt>
                <c:pt idx="7">
                  <c:v>9.0468009138414796E-2</c:v>
                </c:pt>
                <c:pt idx="8">
                  <c:v>4.0275439303454549E-2</c:v>
                </c:pt>
                <c:pt idx="9">
                  <c:v>0.15883983761858519</c:v>
                </c:pt>
              </c:numCache>
            </c:numRef>
          </c:val>
          <c:smooth val="0"/>
          <c:extLst>
            <c:ext xmlns:c16="http://schemas.microsoft.com/office/drawing/2014/chart" uri="{C3380CC4-5D6E-409C-BE32-E72D297353CC}">
              <c16:uniqueId val="{00000003-CA4C-4587-A02A-FBABD721900F}"/>
            </c:ext>
          </c:extLst>
        </c:ser>
        <c:dLbls>
          <c:showLegendKey val="0"/>
          <c:showVal val="0"/>
          <c:showCatName val="0"/>
          <c:showSerName val="0"/>
          <c:showPercent val="0"/>
          <c:showBubbleSize val="0"/>
        </c:dLbls>
        <c:smooth val="0"/>
        <c:axId val="1311571599"/>
        <c:axId val="1311573519"/>
      </c:lineChart>
      <c:catAx>
        <c:axId val="1311571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311573519"/>
        <c:crosses val="autoZero"/>
        <c:auto val="1"/>
        <c:lblAlgn val="ctr"/>
        <c:lblOffset val="100"/>
        <c:noMultiLvlLbl val="0"/>
      </c:catAx>
      <c:valAx>
        <c:axId val="1311573519"/>
        <c:scaling>
          <c:orientation val="minMax"/>
          <c:min val="5.000000000000001E-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311571599"/>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[UK_Financial_Institutions_Fraud_Dataset.xlsx]Pivot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Fraud</a:t>
            </a:r>
            <a:r>
              <a:rPr lang="en-US" b="1" baseline="0">
                <a:solidFill>
                  <a:sysClr val="windowText" lastClr="000000"/>
                </a:solidFill>
              </a:rPr>
              <a:t> Loss Ratio per Bank Type </a:t>
            </a:r>
            <a:r>
              <a:rPr lang="en-US" b="1">
                <a:solidFill>
                  <a:sysClr val="windowText" lastClr="000000"/>
                </a:solidFill>
              </a:rPr>
              <a:t> </a:t>
            </a:r>
          </a:p>
        </c:rich>
      </c:tx>
      <c:overlay val="0"/>
      <c:spPr>
        <a:solidFill>
          <a:schemeClr val="accent3">
            <a:lumMod val="60000"/>
            <a:lumOff val="40000"/>
            <a:alpha val="80000"/>
          </a:schemeClr>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w="19050">
            <a:solidFill>
              <a:schemeClr val="lt1"/>
            </a:solidFill>
          </a:ln>
          <a:effectLst/>
        </c:spPr>
      </c:pivotFmt>
      <c:pivotFmt>
        <c:idx val="2"/>
        <c:spPr>
          <a:solidFill>
            <a:srgbClr val="92D050"/>
          </a:solidFill>
          <a:ln w="19050">
            <a:solidFill>
              <a:schemeClr val="lt1"/>
            </a:solidFill>
          </a:ln>
          <a:effectLst/>
        </c:spPr>
      </c:pivotFmt>
    </c:pivotFmts>
    <c:plotArea>
      <c:layout/>
      <c:pieChart>
        <c:varyColors val="1"/>
        <c:ser>
          <c:idx val="0"/>
          <c:order val="0"/>
          <c:tx>
            <c:strRef>
              <c:f>'Pivot table'!$B$83</c:f>
              <c:strCache>
                <c:ptCount val="1"/>
                <c:pt idx="0">
                  <c:v>Total</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2-D13E-4B1E-9136-E3EB0BF91403}"/>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D13E-4B1E-9136-E3EB0BF91403}"/>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table'!$A$84:$A$86</c:f>
              <c:strCache>
                <c:ptCount val="2"/>
                <c:pt idx="0">
                  <c:v>Traditional</c:v>
                </c:pt>
                <c:pt idx="1">
                  <c:v>Digital</c:v>
                </c:pt>
              </c:strCache>
            </c:strRef>
          </c:cat>
          <c:val>
            <c:numRef>
              <c:f>'Pivot table'!$B$84:$B$86</c:f>
              <c:numCache>
                <c:formatCode>0.00%</c:formatCode>
                <c:ptCount val="2"/>
                <c:pt idx="0">
                  <c:v>0.80872942191907649</c:v>
                </c:pt>
                <c:pt idx="1">
                  <c:v>0.19127057808092357</c:v>
                </c:pt>
              </c:numCache>
            </c:numRef>
          </c:val>
          <c:extLst>
            <c:ext xmlns:c16="http://schemas.microsoft.com/office/drawing/2014/chart" uri="{C3380CC4-5D6E-409C-BE32-E72D297353CC}">
              <c16:uniqueId val="{00000000-D13E-4B1E-9136-E3EB0BF91403}"/>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[UK_Financial_Institutions_Fraud_Dataset.xlsx]Pivot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Fraud Loss</a:t>
            </a:r>
            <a:r>
              <a:rPr lang="en-US" b="1" baseline="0">
                <a:solidFill>
                  <a:sysClr val="windowText" lastClr="000000"/>
                </a:solidFill>
              </a:rPr>
              <a:t> Trend</a:t>
            </a:r>
            <a:endParaRPr lang="en-US" b="1">
              <a:solidFill>
                <a:sysClr val="windowText" lastClr="000000"/>
              </a:solidFill>
            </a:endParaRPr>
          </a:p>
        </c:rich>
      </c:tx>
      <c:overlay val="0"/>
      <c:spPr>
        <a:solidFill>
          <a:schemeClr val="accent3">
            <a:lumMod val="60000"/>
            <a:lumOff val="40000"/>
            <a:alpha val="80000"/>
          </a:schemeClr>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table'!$B$69</c:f>
              <c:strCache>
                <c:ptCount val="1"/>
                <c:pt idx="0">
                  <c:v>Total</c:v>
                </c:pt>
              </c:strCache>
            </c:strRef>
          </c:tx>
          <c:spPr>
            <a:ln w="28575" cap="rnd">
              <a:solidFill>
                <a:srgbClr val="00B050"/>
              </a:solidFill>
              <a:round/>
            </a:ln>
            <a:effectLst/>
          </c:spPr>
          <c:marker>
            <c:symbol val="none"/>
          </c:marker>
          <c:cat>
            <c:strRef>
              <c:f>'Pivot table'!$A$70:$A$80</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 table'!$B$70:$B$80</c:f>
              <c:numCache>
                <c:formatCode>_-[$£-809]* #,##0.00_-;\-[$£-809]* #,##0.00_-;_-[$£-809]* "-"??_-;_-@_-</c:formatCode>
                <c:ptCount val="10"/>
                <c:pt idx="0">
                  <c:v>6167.829999999999</c:v>
                </c:pt>
                <c:pt idx="1">
                  <c:v>6724.93</c:v>
                </c:pt>
                <c:pt idx="2">
                  <c:v>6963.94</c:v>
                </c:pt>
                <c:pt idx="3">
                  <c:v>4962</c:v>
                </c:pt>
                <c:pt idx="4">
                  <c:v>6550.71</c:v>
                </c:pt>
                <c:pt idx="5">
                  <c:v>7293.01</c:v>
                </c:pt>
                <c:pt idx="6">
                  <c:v>7281.38</c:v>
                </c:pt>
                <c:pt idx="7">
                  <c:v>6936.6699999999992</c:v>
                </c:pt>
                <c:pt idx="8">
                  <c:v>5864.2699999999986</c:v>
                </c:pt>
                <c:pt idx="9">
                  <c:v>7283.36</c:v>
                </c:pt>
              </c:numCache>
            </c:numRef>
          </c:val>
          <c:smooth val="0"/>
          <c:extLst>
            <c:ext xmlns:c16="http://schemas.microsoft.com/office/drawing/2014/chart" uri="{C3380CC4-5D6E-409C-BE32-E72D297353CC}">
              <c16:uniqueId val="{00000000-8B15-4951-A4E0-AE6BC24E2923}"/>
            </c:ext>
          </c:extLst>
        </c:ser>
        <c:dLbls>
          <c:showLegendKey val="0"/>
          <c:showVal val="0"/>
          <c:showCatName val="0"/>
          <c:showSerName val="0"/>
          <c:showPercent val="0"/>
          <c:showBubbleSize val="0"/>
        </c:dLbls>
        <c:smooth val="0"/>
        <c:axId val="1195472271"/>
        <c:axId val="1195475151"/>
      </c:lineChart>
      <c:catAx>
        <c:axId val="1195472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195475151"/>
        <c:crosses val="autoZero"/>
        <c:auto val="1"/>
        <c:lblAlgn val="ctr"/>
        <c:lblOffset val="100"/>
        <c:noMultiLvlLbl val="0"/>
      </c:catAx>
      <c:valAx>
        <c:axId val="1195475151"/>
        <c:scaling>
          <c:orientation val="minMax"/>
          <c:min val="500"/>
        </c:scaling>
        <c:delete val="0"/>
        <c:axPos val="l"/>
        <c:majorGridlines>
          <c:spPr>
            <a:ln w="9525" cap="flat" cmpd="sng" algn="ctr">
              <a:solidFill>
                <a:schemeClr val="tx1">
                  <a:lumMod val="15000"/>
                  <a:lumOff val="85000"/>
                </a:schemeClr>
              </a:solidFill>
              <a:round/>
            </a:ln>
            <a:effectLst/>
          </c:spPr>
        </c:majorGridlines>
        <c:numFmt formatCode="_-[$£-809]* #,##0_-;\-[$£-809]* #,##0_-;_-[$£-809]*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195472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[UK_Financial_Institutions_Fraud_Dataset.xlsx]Pivot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Fraud</a:t>
            </a:r>
            <a:r>
              <a:rPr lang="en-US" b="1" baseline="0">
                <a:solidFill>
                  <a:sysClr val="windowText" lastClr="000000"/>
                </a:solidFill>
              </a:rPr>
              <a:t> Loss by Risk Rating</a:t>
            </a:r>
            <a:endParaRPr lang="en-US" b="1">
              <a:solidFill>
                <a:sysClr val="windowText" lastClr="000000"/>
              </a:solidFill>
            </a:endParaRPr>
          </a:p>
        </c:rich>
      </c:tx>
      <c:overlay val="0"/>
      <c:spPr>
        <a:solidFill>
          <a:schemeClr val="accent3">
            <a:lumMod val="60000"/>
            <a:lumOff val="40000"/>
            <a:alpha val="80000"/>
          </a:schemeClr>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table'!$B$89</c:f>
              <c:strCache>
                <c:ptCount val="1"/>
                <c:pt idx="0">
                  <c:v>Total</c:v>
                </c:pt>
              </c:strCache>
            </c:strRef>
          </c:tx>
          <c:spPr>
            <a:solidFill>
              <a:srgbClr val="00B050"/>
            </a:solidFill>
            <a:ln>
              <a:noFill/>
            </a:ln>
            <a:effectLst/>
          </c:spPr>
          <c:invertIfNegative val="0"/>
          <c:cat>
            <c:strRef>
              <c:f>'Pivot table'!$A$90:$A$93</c:f>
              <c:strCache>
                <c:ptCount val="3"/>
                <c:pt idx="0">
                  <c:v>High</c:v>
                </c:pt>
                <c:pt idx="1">
                  <c:v>Low</c:v>
                </c:pt>
                <c:pt idx="2">
                  <c:v>Medium</c:v>
                </c:pt>
              </c:strCache>
            </c:strRef>
          </c:cat>
          <c:val>
            <c:numRef>
              <c:f>'Pivot table'!$B$90:$B$93</c:f>
              <c:numCache>
                <c:formatCode>_-[$£-809]* #,##0.00_-;\-[$£-809]* #,##0.00_-;_-[$£-809]* "-"??_-;_-@_-</c:formatCode>
                <c:ptCount val="3"/>
                <c:pt idx="0">
                  <c:v>29249.429999999993</c:v>
                </c:pt>
                <c:pt idx="1">
                  <c:v>24492.129999999994</c:v>
                </c:pt>
                <c:pt idx="2">
                  <c:v>12286.54</c:v>
                </c:pt>
              </c:numCache>
            </c:numRef>
          </c:val>
          <c:extLst>
            <c:ext xmlns:c16="http://schemas.microsoft.com/office/drawing/2014/chart" uri="{C3380CC4-5D6E-409C-BE32-E72D297353CC}">
              <c16:uniqueId val="{00000000-24F0-4F0B-A8B2-C84045A84155}"/>
            </c:ext>
          </c:extLst>
        </c:ser>
        <c:dLbls>
          <c:showLegendKey val="0"/>
          <c:showVal val="0"/>
          <c:showCatName val="0"/>
          <c:showSerName val="0"/>
          <c:showPercent val="0"/>
          <c:showBubbleSize val="0"/>
        </c:dLbls>
        <c:gapWidth val="219"/>
        <c:overlap val="-27"/>
        <c:axId val="1195471791"/>
        <c:axId val="1195464111"/>
      </c:barChart>
      <c:catAx>
        <c:axId val="1195471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195464111"/>
        <c:crosses val="autoZero"/>
        <c:auto val="1"/>
        <c:lblAlgn val="ctr"/>
        <c:lblOffset val="100"/>
        <c:noMultiLvlLbl val="0"/>
      </c:catAx>
      <c:valAx>
        <c:axId val="1195464111"/>
        <c:scaling>
          <c:orientation val="minMax"/>
        </c:scaling>
        <c:delete val="0"/>
        <c:axPos val="l"/>
        <c:numFmt formatCode="_-[$£-809]* #,##0.00_-;\-[$£-809]* #,##0.0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195471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Suspicious Transaction VS Fraud</a:t>
            </a:r>
            <a:r>
              <a:rPr lang="en-US" b="1" baseline="0">
                <a:solidFill>
                  <a:sysClr val="windowText" lastClr="000000"/>
                </a:solidFill>
              </a:rPr>
              <a:t> Loss</a:t>
            </a:r>
            <a:endParaRPr lang="en-US" b="1">
              <a:solidFill>
                <a:sysClr val="windowText" lastClr="000000"/>
              </a:solidFill>
            </a:endParaRPr>
          </a:p>
        </c:rich>
      </c:tx>
      <c:overlay val="0"/>
      <c:spPr>
        <a:solidFill>
          <a:schemeClr val="accent3">
            <a:lumMod val="60000"/>
            <a:lumOff val="40000"/>
            <a:alpha val="80000"/>
          </a:schemeClr>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'Power query'!$E$1</c:f>
              <c:strCache>
                <c:ptCount val="1"/>
                <c:pt idx="0">
                  <c:v>Suspicious</c:v>
                </c:pt>
              </c:strCache>
            </c:strRef>
          </c:tx>
          <c:spPr>
            <a:ln w="28575" cap="rnd">
              <a:noFill/>
              <a:round/>
            </a:ln>
            <a:effectLst/>
          </c:spPr>
          <c:marker>
            <c:symbol val="circle"/>
            <c:size val="5"/>
            <c:spPr>
              <a:solidFill>
                <a:srgbClr val="00B050"/>
              </a:solidFill>
              <a:ln w="9525">
                <a:solidFill>
                  <a:schemeClr val="accent1"/>
                </a:solidFill>
              </a:ln>
              <a:effectLst/>
            </c:spPr>
          </c:marker>
          <c:xVal>
            <c:numRef>
              <c:f>'Power query'!$D$2:$D$201</c:f>
              <c:numCache>
                <c:formatCode>_-[$£-809]* #,##0.00_-;\-[$£-809]* #,##0.00_-;_-[$£-809]* "-"??_-;_-@_-</c:formatCode>
                <c:ptCount val="200"/>
                <c:pt idx="0">
                  <c:v>535.85</c:v>
                </c:pt>
                <c:pt idx="1">
                  <c:v>272.27999999999997</c:v>
                </c:pt>
                <c:pt idx="2">
                  <c:v>364.22</c:v>
                </c:pt>
                <c:pt idx="3">
                  <c:v>32.270000000000003</c:v>
                </c:pt>
                <c:pt idx="4">
                  <c:v>562.30999999999995</c:v>
                </c:pt>
                <c:pt idx="5">
                  <c:v>466.72</c:v>
                </c:pt>
                <c:pt idx="6">
                  <c:v>549.16</c:v>
                </c:pt>
                <c:pt idx="7">
                  <c:v>598.53</c:v>
                </c:pt>
                <c:pt idx="8">
                  <c:v>319.82</c:v>
                </c:pt>
                <c:pt idx="9">
                  <c:v>458.37</c:v>
                </c:pt>
                <c:pt idx="10">
                  <c:v>361.37</c:v>
                </c:pt>
                <c:pt idx="11">
                  <c:v>457.56</c:v>
                </c:pt>
                <c:pt idx="12">
                  <c:v>124.68</c:v>
                </c:pt>
                <c:pt idx="13">
                  <c:v>9.2799999999999994</c:v>
                </c:pt>
                <c:pt idx="14">
                  <c:v>347.85</c:v>
                </c:pt>
                <c:pt idx="15">
                  <c:v>389.48</c:v>
                </c:pt>
                <c:pt idx="16">
                  <c:v>268.66000000000003</c:v>
                </c:pt>
                <c:pt idx="17">
                  <c:v>591.26</c:v>
                </c:pt>
                <c:pt idx="18">
                  <c:v>450.05</c:v>
                </c:pt>
                <c:pt idx="19">
                  <c:v>144.94999999999999</c:v>
                </c:pt>
                <c:pt idx="20">
                  <c:v>147.02000000000001</c:v>
                </c:pt>
                <c:pt idx="21">
                  <c:v>324.89</c:v>
                </c:pt>
                <c:pt idx="22">
                  <c:v>394.12</c:v>
                </c:pt>
                <c:pt idx="23">
                  <c:v>126.14</c:v>
                </c:pt>
                <c:pt idx="24">
                  <c:v>446.03</c:v>
                </c:pt>
                <c:pt idx="25">
                  <c:v>560.19000000000005</c:v>
                </c:pt>
                <c:pt idx="26">
                  <c:v>519.44000000000005</c:v>
                </c:pt>
                <c:pt idx="27">
                  <c:v>523.94000000000005</c:v>
                </c:pt>
                <c:pt idx="28">
                  <c:v>46.31</c:v>
                </c:pt>
                <c:pt idx="29">
                  <c:v>69.5</c:v>
                </c:pt>
                <c:pt idx="30">
                  <c:v>484.87</c:v>
                </c:pt>
                <c:pt idx="31">
                  <c:v>244.43</c:v>
                </c:pt>
                <c:pt idx="32">
                  <c:v>130.06</c:v>
                </c:pt>
                <c:pt idx="33">
                  <c:v>381.6</c:v>
                </c:pt>
                <c:pt idx="34">
                  <c:v>532.25</c:v>
                </c:pt>
                <c:pt idx="35">
                  <c:v>109.65</c:v>
                </c:pt>
                <c:pt idx="36">
                  <c:v>268.33</c:v>
                </c:pt>
                <c:pt idx="37">
                  <c:v>293.33999999999997</c:v>
                </c:pt>
                <c:pt idx="38">
                  <c:v>425.32</c:v>
                </c:pt>
                <c:pt idx="39">
                  <c:v>514.76</c:v>
                </c:pt>
                <c:pt idx="40">
                  <c:v>136.22</c:v>
                </c:pt>
                <c:pt idx="41">
                  <c:v>375.24</c:v>
                </c:pt>
                <c:pt idx="42">
                  <c:v>205.81</c:v>
                </c:pt>
                <c:pt idx="43">
                  <c:v>392.79</c:v>
                </c:pt>
                <c:pt idx="44">
                  <c:v>224.49</c:v>
                </c:pt>
                <c:pt idx="45">
                  <c:v>357.3</c:v>
                </c:pt>
                <c:pt idx="46">
                  <c:v>390.29</c:v>
                </c:pt>
                <c:pt idx="47">
                  <c:v>165.7</c:v>
                </c:pt>
                <c:pt idx="48">
                  <c:v>344.06</c:v>
                </c:pt>
                <c:pt idx="49">
                  <c:v>335.7</c:v>
                </c:pt>
                <c:pt idx="50">
                  <c:v>180.07</c:v>
                </c:pt>
                <c:pt idx="51">
                  <c:v>154.59</c:v>
                </c:pt>
                <c:pt idx="52">
                  <c:v>173.38</c:v>
                </c:pt>
                <c:pt idx="53">
                  <c:v>566.73</c:v>
                </c:pt>
                <c:pt idx="54">
                  <c:v>243.42</c:v>
                </c:pt>
                <c:pt idx="55">
                  <c:v>466.54</c:v>
                </c:pt>
                <c:pt idx="56">
                  <c:v>130.56</c:v>
                </c:pt>
                <c:pt idx="57">
                  <c:v>173.22</c:v>
                </c:pt>
                <c:pt idx="58">
                  <c:v>163.05000000000001</c:v>
                </c:pt>
                <c:pt idx="59">
                  <c:v>565.89</c:v>
                </c:pt>
                <c:pt idx="60">
                  <c:v>517.01</c:v>
                </c:pt>
                <c:pt idx="61">
                  <c:v>581.59</c:v>
                </c:pt>
                <c:pt idx="62">
                  <c:v>457.5</c:v>
                </c:pt>
                <c:pt idx="63">
                  <c:v>279.88</c:v>
                </c:pt>
                <c:pt idx="64">
                  <c:v>420.46</c:v>
                </c:pt>
                <c:pt idx="65">
                  <c:v>74.89</c:v>
                </c:pt>
                <c:pt idx="66">
                  <c:v>553.51</c:v>
                </c:pt>
                <c:pt idx="67">
                  <c:v>599.35</c:v>
                </c:pt>
                <c:pt idx="68">
                  <c:v>345.22</c:v>
                </c:pt>
                <c:pt idx="69">
                  <c:v>579.07000000000005</c:v>
                </c:pt>
                <c:pt idx="70">
                  <c:v>470.01</c:v>
                </c:pt>
                <c:pt idx="71">
                  <c:v>524.07000000000005</c:v>
                </c:pt>
                <c:pt idx="72">
                  <c:v>183.18</c:v>
                </c:pt>
                <c:pt idx="73">
                  <c:v>51.99</c:v>
                </c:pt>
                <c:pt idx="74">
                  <c:v>330.23</c:v>
                </c:pt>
                <c:pt idx="75">
                  <c:v>345.29</c:v>
                </c:pt>
                <c:pt idx="76">
                  <c:v>542.97</c:v>
                </c:pt>
                <c:pt idx="77">
                  <c:v>62.81</c:v>
                </c:pt>
                <c:pt idx="78">
                  <c:v>325.95</c:v>
                </c:pt>
                <c:pt idx="79">
                  <c:v>516.78</c:v>
                </c:pt>
                <c:pt idx="80">
                  <c:v>564.47</c:v>
                </c:pt>
                <c:pt idx="81">
                  <c:v>391.3</c:v>
                </c:pt>
                <c:pt idx="82">
                  <c:v>419.41</c:v>
                </c:pt>
                <c:pt idx="83">
                  <c:v>268.81</c:v>
                </c:pt>
                <c:pt idx="84">
                  <c:v>399.35</c:v>
                </c:pt>
                <c:pt idx="85">
                  <c:v>465.75</c:v>
                </c:pt>
                <c:pt idx="86">
                  <c:v>355.37</c:v>
                </c:pt>
                <c:pt idx="87">
                  <c:v>273.94</c:v>
                </c:pt>
                <c:pt idx="88">
                  <c:v>546.27</c:v>
                </c:pt>
                <c:pt idx="89">
                  <c:v>274.95999999999998</c:v>
                </c:pt>
                <c:pt idx="90">
                  <c:v>439.12</c:v>
                </c:pt>
                <c:pt idx="91">
                  <c:v>226.72</c:v>
                </c:pt>
                <c:pt idx="92">
                  <c:v>362.24</c:v>
                </c:pt>
                <c:pt idx="93">
                  <c:v>139.56</c:v>
                </c:pt>
                <c:pt idx="94">
                  <c:v>396.12</c:v>
                </c:pt>
                <c:pt idx="95">
                  <c:v>565.14</c:v>
                </c:pt>
                <c:pt idx="96">
                  <c:v>454.19</c:v>
                </c:pt>
                <c:pt idx="97">
                  <c:v>9.57</c:v>
                </c:pt>
                <c:pt idx="98">
                  <c:v>337.44</c:v>
                </c:pt>
                <c:pt idx="99">
                  <c:v>177.26</c:v>
                </c:pt>
                <c:pt idx="100">
                  <c:v>316.76</c:v>
                </c:pt>
                <c:pt idx="101">
                  <c:v>575.14</c:v>
                </c:pt>
                <c:pt idx="102">
                  <c:v>281.05</c:v>
                </c:pt>
                <c:pt idx="103">
                  <c:v>189.69</c:v>
                </c:pt>
                <c:pt idx="104">
                  <c:v>572.77</c:v>
                </c:pt>
                <c:pt idx="105">
                  <c:v>430.02</c:v>
                </c:pt>
                <c:pt idx="106">
                  <c:v>408.94</c:v>
                </c:pt>
                <c:pt idx="107">
                  <c:v>203.35</c:v>
                </c:pt>
                <c:pt idx="108">
                  <c:v>423.18</c:v>
                </c:pt>
                <c:pt idx="109">
                  <c:v>599.99</c:v>
                </c:pt>
                <c:pt idx="110">
                  <c:v>229.15</c:v>
                </c:pt>
                <c:pt idx="111">
                  <c:v>272.11</c:v>
                </c:pt>
                <c:pt idx="112">
                  <c:v>254.1</c:v>
                </c:pt>
                <c:pt idx="113">
                  <c:v>174.61</c:v>
                </c:pt>
                <c:pt idx="114">
                  <c:v>303.69</c:v>
                </c:pt>
                <c:pt idx="115">
                  <c:v>550.85</c:v>
                </c:pt>
                <c:pt idx="116">
                  <c:v>319.02</c:v>
                </c:pt>
                <c:pt idx="117">
                  <c:v>323.95</c:v>
                </c:pt>
                <c:pt idx="118">
                  <c:v>219.56</c:v>
                </c:pt>
                <c:pt idx="119">
                  <c:v>395.98</c:v>
                </c:pt>
                <c:pt idx="120">
                  <c:v>113.46</c:v>
                </c:pt>
                <c:pt idx="121">
                  <c:v>490.17</c:v>
                </c:pt>
                <c:pt idx="122">
                  <c:v>243.01</c:v>
                </c:pt>
                <c:pt idx="123">
                  <c:v>363.46</c:v>
                </c:pt>
                <c:pt idx="124">
                  <c:v>30.2</c:v>
                </c:pt>
                <c:pt idx="125">
                  <c:v>366.51</c:v>
                </c:pt>
                <c:pt idx="126">
                  <c:v>226.35</c:v>
                </c:pt>
                <c:pt idx="127">
                  <c:v>339.2</c:v>
                </c:pt>
                <c:pt idx="128">
                  <c:v>539.71</c:v>
                </c:pt>
                <c:pt idx="129">
                  <c:v>384.43</c:v>
                </c:pt>
                <c:pt idx="130">
                  <c:v>369.11</c:v>
                </c:pt>
                <c:pt idx="131">
                  <c:v>282.17</c:v>
                </c:pt>
                <c:pt idx="132">
                  <c:v>561.16999999999996</c:v>
                </c:pt>
                <c:pt idx="133">
                  <c:v>386.39</c:v>
                </c:pt>
                <c:pt idx="134">
                  <c:v>461.34</c:v>
                </c:pt>
                <c:pt idx="135">
                  <c:v>252.29</c:v>
                </c:pt>
                <c:pt idx="136">
                  <c:v>68.180000000000007</c:v>
                </c:pt>
                <c:pt idx="137">
                  <c:v>541.87</c:v>
                </c:pt>
                <c:pt idx="138">
                  <c:v>148.22999999999999</c:v>
                </c:pt>
                <c:pt idx="139">
                  <c:v>530.05999999999995</c:v>
                </c:pt>
                <c:pt idx="140">
                  <c:v>171.43</c:v>
                </c:pt>
                <c:pt idx="141">
                  <c:v>28.15</c:v>
                </c:pt>
                <c:pt idx="142">
                  <c:v>506.35</c:v>
                </c:pt>
                <c:pt idx="143">
                  <c:v>414.39</c:v>
                </c:pt>
                <c:pt idx="144">
                  <c:v>149.11000000000001</c:v>
                </c:pt>
                <c:pt idx="145">
                  <c:v>442.82</c:v>
                </c:pt>
                <c:pt idx="146">
                  <c:v>330.03</c:v>
                </c:pt>
                <c:pt idx="147">
                  <c:v>295.95999999999998</c:v>
                </c:pt>
                <c:pt idx="148">
                  <c:v>92.15</c:v>
                </c:pt>
                <c:pt idx="149">
                  <c:v>166.61</c:v>
                </c:pt>
                <c:pt idx="150">
                  <c:v>8.08</c:v>
                </c:pt>
                <c:pt idx="151">
                  <c:v>346.61</c:v>
                </c:pt>
                <c:pt idx="152">
                  <c:v>526.66</c:v>
                </c:pt>
                <c:pt idx="153">
                  <c:v>167.34</c:v>
                </c:pt>
                <c:pt idx="154">
                  <c:v>514.41</c:v>
                </c:pt>
                <c:pt idx="155">
                  <c:v>145.13999999999999</c:v>
                </c:pt>
                <c:pt idx="156">
                  <c:v>554.25</c:v>
                </c:pt>
                <c:pt idx="157">
                  <c:v>422.65</c:v>
                </c:pt>
                <c:pt idx="158">
                  <c:v>125.28</c:v>
                </c:pt>
                <c:pt idx="159">
                  <c:v>274.79000000000002</c:v>
                </c:pt>
                <c:pt idx="160">
                  <c:v>48.45</c:v>
                </c:pt>
                <c:pt idx="161">
                  <c:v>460.67</c:v>
                </c:pt>
                <c:pt idx="162">
                  <c:v>595.74</c:v>
                </c:pt>
                <c:pt idx="163">
                  <c:v>97.3</c:v>
                </c:pt>
                <c:pt idx="164">
                  <c:v>150.62</c:v>
                </c:pt>
                <c:pt idx="165">
                  <c:v>347.79</c:v>
                </c:pt>
                <c:pt idx="166">
                  <c:v>408.86</c:v>
                </c:pt>
                <c:pt idx="167">
                  <c:v>139.08000000000001</c:v>
                </c:pt>
                <c:pt idx="168">
                  <c:v>225.79</c:v>
                </c:pt>
                <c:pt idx="169">
                  <c:v>134.12</c:v>
                </c:pt>
                <c:pt idx="170">
                  <c:v>126.69</c:v>
                </c:pt>
                <c:pt idx="171">
                  <c:v>434.84</c:v>
                </c:pt>
                <c:pt idx="172">
                  <c:v>253.46</c:v>
                </c:pt>
                <c:pt idx="173">
                  <c:v>580.07000000000005</c:v>
                </c:pt>
                <c:pt idx="174">
                  <c:v>25.13</c:v>
                </c:pt>
                <c:pt idx="175">
                  <c:v>401.72</c:v>
                </c:pt>
                <c:pt idx="176">
                  <c:v>420.23</c:v>
                </c:pt>
                <c:pt idx="177">
                  <c:v>575.78</c:v>
                </c:pt>
                <c:pt idx="178">
                  <c:v>229.42</c:v>
                </c:pt>
                <c:pt idx="179">
                  <c:v>319.25</c:v>
                </c:pt>
                <c:pt idx="180">
                  <c:v>511</c:v>
                </c:pt>
                <c:pt idx="181">
                  <c:v>233.39</c:v>
                </c:pt>
                <c:pt idx="182">
                  <c:v>465.27</c:v>
                </c:pt>
                <c:pt idx="183">
                  <c:v>180.75</c:v>
                </c:pt>
                <c:pt idx="184">
                  <c:v>188.42</c:v>
                </c:pt>
                <c:pt idx="185">
                  <c:v>360.17</c:v>
                </c:pt>
                <c:pt idx="186">
                  <c:v>412.76</c:v>
                </c:pt>
                <c:pt idx="187">
                  <c:v>566.80999999999995</c:v>
                </c:pt>
                <c:pt idx="188">
                  <c:v>261.22000000000003</c:v>
                </c:pt>
                <c:pt idx="189">
                  <c:v>470.27</c:v>
                </c:pt>
                <c:pt idx="190">
                  <c:v>437.69</c:v>
                </c:pt>
                <c:pt idx="191">
                  <c:v>49.01</c:v>
                </c:pt>
                <c:pt idx="192">
                  <c:v>462.53</c:v>
                </c:pt>
                <c:pt idx="193">
                  <c:v>158.94999999999999</c:v>
                </c:pt>
                <c:pt idx="194">
                  <c:v>252.51</c:v>
                </c:pt>
                <c:pt idx="195">
                  <c:v>194.75</c:v>
                </c:pt>
                <c:pt idx="196">
                  <c:v>100.28</c:v>
                </c:pt>
                <c:pt idx="197">
                  <c:v>236.36</c:v>
                </c:pt>
                <c:pt idx="198">
                  <c:v>296.24</c:v>
                </c:pt>
                <c:pt idx="199">
                  <c:v>370.62</c:v>
                </c:pt>
              </c:numCache>
            </c:numRef>
          </c:xVal>
          <c:yVal>
            <c:numRef>
              <c:f>'Power query'!$E$2:$E$201</c:f>
              <c:numCache>
                <c:formatCode>General</c:formatCode>
                <c:ptCount val="200"/>
                <c:pt idx="0">
                  <c:v>1524</c:v>
                </c:pt>
                <c:pt idx="1">
                  <c:v>0</c:v>
                </c:pt>
                <c:pt idx="2">
                  <c:v>811</c:v>
                </c:pt>
                <c:pt idx="3">
                  <c:v>3833</c:v>
                </c:pt>
                <c:pt idx="4">
                  <c:v>0</c:v>
                </c:pt>
                <c:pt idx="5">
                  <c:v>0</c:v>
                </c:pt>
                <c:pt idx="6">
                  <c:v>0</c:v>
                </c:pt>
                <c:pt idx="7">
                  <c:v>8448</c:v>
                </c:pt>
                <c:pt idx="8">
                  <c:v>0</c:v>
                </c:pt>
                <c:pt idx="9">
                  <c:v>0</c:v>
                </c:pt>
                <c:pt idx="10">
                  <c:v>0</c:v>
                </c:pt>
                <c:pt idx="11">
                  <c:v>0</c:v>
                </c:pt>
                <c:pt idx="12">
                  <c:v>5207</c:v>
                </c:pt>
                <c:pt idx="13">
                  <c:v>0</c:v>
                </c:pt>
                <c:pt idx="14">
                  <c:v>4081</c:v>
                </c:pt>
                <c:pt idx="15">
                  <c:v>1093</c:v>
                </c:pt>
                <c:pt idx="16">
                  <c:v>0</c:v>
                </c:pt>
                <c:pt idx="17">
                  <c:v>4445</c:v>
                </c:pt>
                <c:pt idx="18">
                  <c:v>0</c:v>
                </c:pt>
                <c:pt idx="19">
                  <c:v>0</c:v>
                </c:pt>
                <c:pt idx="20">
                  <c:v>0</c:v>
                </c:pt>
                <c:pt idx="21">
                  <c:v>8388</c:v>
                </c:pt>
                <c:pt idx="22">
                  <c:v>228</c:v>
                </c:pt>
                <c:pt idx="23">
                  <c:v>4425</c:v>
                </c:pt>
                <c:pt idx="24">
                  <c:v>0</c:v>
                </c:pt>
                <c:pt idx="25">
                  <c:v>753</c:v>
                </c:pt>
                <c:pt idx="26">
                  <c:v>3000</c:v>
                </c:pt>
                <c:pt idx="27">
                  <c:v>0</c:v>
                </c:pt>
                <c:pt idx="28">
                  <c:v>4673</c:v>
                </c:pt>
                <c:pt idx="29">
                  <c:v>7219</c:v>
                </c:pt>
                <c:pt idx="30">
                  <c:v>3328</c:v>
                </c:pt>
                <c:pt idx="31">
                  <c:v>0</c:v>
                </c:pt>
                <c:pt idx="32">
                  <c:v>5379</c:v>
                </c:pt>
                <c:pt idx="33">
                  <c:v>0</c:v>
                </c:pt>
                <c:pt idx="34">
                  <c:v>3285</c:v>
                </c:pt>
                <c:pt idx="35">
                  <c:v>8586</c:v>
                </c:pt>
                <c:pt idx="36">
                  <c:v>8370</c:v>
                </c:pt>
                <c:pt idx="37">
                  <c:v>4019</c:v>
                </c:pt>
                <c:pt idx="38">
                  <c:v>1152</c:v>
                </c:pt>
                <c:pt idx="39">
                  <c:v>6332</c:v>
                </c:pt>
                <c:pt idx="40">
                  <c:v>3695</c:v>
                </c:pt>
                <c:pt idx="41">
                  <c:v>541</c:v>
                </c:pt>
                <c:pt idx="42">
                  <c:v>6311</c:v>
                </c:pt>
                <c:pt idx="43">
                  <c:v>0</c:v>
                </c:pt>
                <c:pt idx="44">
                  <c:v>0</c:v>
                </c:pt>
                <c:pt idx="45">
                  <c:v>0</c:v>
                </c:pt>
                <c:pt idx="46">
                  <c:v>307</c:v>
                </c:pt>
                <c:pt idx="47">
                  <c:v>8917</c:v>
                </c:pt>
                <c:pt idx="48">
                  <c:v>6309</c:v>
                </c:pt>
                <c:pt idx="49">
                  <c:v>0</c:v>
                </c:pt>
                <c:pt idx="50">
                  <c:v>0</c:v>
                </c:pt>
                <c:pt idx="51">
                  <c:v>0</c:v>
                </c:pt>
                <c:pt idx="52">
                  <c:v>0</c:v>
                </c:pt>
                <c:pt idx="53">
                  <c:v>0</c:v>
                </c:pt>
                <c:pt idx="54">
                  <c:v>0</c:v>
                </c:pt>
                <c:pt idx="55">
                  <c:v>6332</c:v>
                </c:pt>
                <c:pt idx="56">
                  <c:v>0</c:v>
                </c:pt>
                <c:pt idx="57">
                  <c:v>0</c:v>
                </c:pt>
                <c:pt idx="58">
                  <c:v>0</c:v>
                </c:pt>
                <c:pt idx="59">
                  <c:v>8299</c:v>
                </c:pt>
                <c:pt idx="60">
                  <c:v>439</c:v>
                </c:pt>
                <c:pt idx="61">
                  <c:v>7800</c:v>
                </c:pt>
                <c:pt idx="62">
                  <c:v>701</c:v>
                </c:pt>
                <c:pt idx="63">
                  <c:v>0</c:v>
                </c:pt>
                <c:pt idx="64">
                  <c:v>0</c:v>
                </c:pt>
                <c:pt idx="65">
                  <c:v>2622</c:v>
                </c:pt>
                <c:pt idx="66">
                  <c:v>0</c:v>
                </c:pt>
                <c:pt idx="67">
                  <c:v>0</c:v>
                </c:pt>
                <c:pt idx="68">
                  <c:v>3926</c:v>
                </c:pt>
                <c:pt idx="69">
                  <c:v>2168</c:v>
                </c:pt>
                <c:pt idx="70">
                  <c:v>4442</c:v>
                </c:pt>
                <c:pt idx="71">
                  <c:v>0</c:v>
                </c:pt>
                <c:pt idx="72">
                  <c:v>0</c:v>
                </c:pt>
                <c:pt idx="73">
                  <c:v>0</c:v>
                </c:pt>
                <c:pt idx="74">
                  <c:v>1310</c:v>
                </c:pt>
                <c:pt idx="75">
                  <c:v>4947</c:v>
                </c:pt>
                <c:pt idx="76">
                  <c:v>0</c:v>
                </c:pt>
                <c:pt idx="77">
                  <c:v>745</c:v>
                </c:pt>
                <c:pt idx="78">
                  <c:v>6094</c:v>
                </c:pt>
                <c:pt idx="79">
                  <c:v>6611</c:v>
                </c:pt>
                <c:pt idx="80">
                  <c:v>0</c:v>
                </c:pt>
                <c:pt idx="81">
                  <c:v>0</c:v>
                </c:pt>
                <c:pt idx="82">
                  <c:v>8950</c:v>
                </c:pt>
                <c:pt idx="83">
                  <c:v>3968</c:v>
                </c:pt>
                <c:pt idx="84">
                  <c:v>0</c:v>
                </c:pt>
                <c:pt idx="85">
                  <c:v>146</c:v>
                </c:pt>
                <c:pt idx="86">
                  <c:v>0</c:v>
                </c:pt>
                <c:pt idx="87">
                  <c:v>0</c:v>
                </c:pt>
                <c:pt idx="88">
                  <c:v>0</c:v>
                </c:pt>
                <c:pt idx="89">
                  <c:v>0</c:v>
                </c:pt>
                <c:pt idx="90">
                  <c:v>5220</c:v>
                </c:pt>
                <c:pt idx="91">
                  <c:v>0</c:v>
                </c:pt>
                <c:pt idx="92">
                  <c:v>0</c:v>
                </c:pt>
                <c:pt idx="93">
                  <c:v>0</c:v>
                </c:pt>
                <c:pt idx="94">
                  <c:v>0</c:v>
                </c:pt>
                <c:pt idx="95">
                  <c:v>0</c:v>
                </c:pt>
                <c:pt idx="96">
                  <c:v>1964</c:v>
                </c:pt>
                <c:pt idx="97">
                  <c:v>0</c:v>
                </c:pt>
                <c:pt idx="98">
                  <c:v>0</c:v>
                </c:pt>
                <c:pt idx="99">
                  <c:v>0</c:v>
                </c:pt>
                <c:pt idx="100">
                  <c:v>6584</c:v>
                </c:pt>
                <c:pt idx="101">
                  <c:v>0</c:v>
                </c:pt>
                <c:pt idx="102">
                  <c:v>7454</c:v>
                </c:pt>
                <c:pt idx="103">
                  <c:v>0</c:v>
                </c:pt>
                <c:pt idx="104">
                  <c:v>772</c:v>
                </c:pt>
                <c:pt idx="105">
                  <c:v>0</c:v>
                </c:pt>
                <c:pt idx="106">
                  <c:v>957</c:v>
                </c:pt>
                <c:pt idx="107">
                  <c:v>2417</c:v>
                </c:pt>
                <c:pt idx="108">
                  <c:v>0</c:v>
                </c:pt>
                <c:pt idx="109">
                  <c:v>0</c:v>
                </c:pt>
                <c:pt idx="110">
                  <c:v>0</c:v>
                </c:pt>
                <c:pt idx="111">
                  <c:v>0</c:v>
                </c:pt>
                <c:pt idx="112">
                  <c:v>0</c:v>
                </c:pt>
                <c:pt idx="113">
                  <c:v>2726</c:v>
                </c:pt>
                <c:pt idx="114">
                  <c:v>3962</c:v>
                </c:pt>
                <c:pt idx="115">
                  <c:v>0</c:v>
                </c:pt>
                <c:pt idx="116">
                  <c:v>1921</c:v>
                </c:pt>
                <c:pt idx="117">
                  <c:v>0</c:v>
                </c:pt>
                <c:pt idx="118">
                  <c:v>0</c:v>
                </c:pt>
                <c:pt idx="119">
                  <c:v>1798</c:v>
                </c:pt>
                <c:pt idx="120">
                  <c:v>0</c:v>
                </c:pt>
                <c:pt idx="121">
                  <c:v>7856</c:v>
                </c:pt>
                <c:pt idx="122">
                  <c:v>7304</c:v>
                </c:pt>
                <c:pt idx="123">
                  <c:v>3056</c:v>
                </c:pt>
                <c:pt idx="124">
                  <c:v>5876</c:v>
                </c:pt>
                <c:pt idx="125">
                  <c:v>0</c:v>
                </c:pt>
                <c:pt idx="126">
                  <c:v>0</c:v>
                </c:pt>
                <c:pt idx="127">
                  <c:v>4388</c:v>
                </c:pt>
                <c:pt idx="128">
                  <c:v>0</c:v>
                </c:pt>
                <c:pt idx="129">
                  <c:v>0</c:v>
                </c:pt>
                <c:pt idx="130">
                  <c:v>0</c:v>
                </c:pt>
                <c:pt idx="131">
                  <c:v>8576</c:v>
                </c:pt>
                <c:pt idx="132">
                  <c:v>3794</c:v>
                </c:pt>
                <c:pt idx="133">
                  <c:v>0</c:v>
                </c:pt>
                <c:pt idx="134">
                  <c:v>0</c:v>
                </c:pt>
                <c:pt idx="135">
                  <c:v>0</c:v>
                </c:pt>
                <c:pt idx="136">
                  <c:v>4060</c:v>
                </c:pt>
                <c:pt idx="137">
                  <c:v>5464</c:v>
                </c:pt>
                <c:pt idx="138">
                  <c:v>0</c:v>
                </c:pt>
                <c:pt idx="139">
                  <c:v>6092</c:v>
                </c:pt>
                <c:pt idx="140">
                  <c:v>0</c:v>
                </c:pt>
                <c:pt idx="141">
                  <c:v>5556</c:v>
                </c:pt>
                <c:pt idx="142">
                  <c:v>5611</c:v>
                </c:pt>
                <c:pt idx="143">
                  <c:v>536</c:v>
                </c:pt>
                <c:pt idx="144">
                  <c:v>0</c:v>
                </c:pt>
                <c:pt idx="145">
                  <c:v>0</c:v>
                </c:pt>
                <c:pt idx="146">
                  <c:v>4431</c:v>
                </c:pt>
                <c:pt idx="147">
                  <c:v>7961</c:v>
                </c:pt>
                <c:pt idx="148">
                  <c:v>789</c:v>
                </c:pt>
                <c:pt idx="149">
                  <c:v>0</c:v>
                </c:pt>
                <c:pt idx="150">
                  <c:v>2687</c:v>
                </c:pt>
                <c:pt idx="151">
                  <c:v>0</c:v>
                </c:pt>
                <c:pt idx="152">
                  <c:v>251</c:v>
                </c:pt>
                <c:pt idx="153">
                  <c:v>1945</c:v>
                </c:pt>
                <c:pt idx="154">
                  <c:v>6743</c:v>
                </c:pt>
                <c:pt idx="155">
                  <c:v>4474</c:v>
                </c:pt>
                <c:pt idx="156">
                  <c:v>0</c:v>
                </c:pt>
                <c:pt idx="157">
                  <c:v>0</c:v>
                </c:pt>
                <c:pt idx="158">
                  <c:v>0</c:v>
                </c:pt>
                <c:pt idx="159">
                  <c:v>8509</c:v>
                </c:pt>
                <c:pt idx="160">
                  <c:v>7041</c:v>
                </c:pt>
                <c:pt idx="161">
                  <c:v>6987</c:v>
                </c:pt>
                <c:pt idx="162">
                  <c:v>0</c:v>
                </c:pt>
                <c:pt idx="163">
                  <c:v>0</c:v>
                </c:pt>
                <c:pt idx="164">
                  <c:v>824</c:v>
                </c:pt>
                <c:pt idx="165">
                  <c:v>0</c:v>
                </c:pt>
                <c:pt idx="166">
                  <c:v>0</c:v>
                </c:pt>
                <c:pt idx="167">
                  <c:v>2465</c:v>
                </c:pt>
                <c:pt idx="168">
                  <c:v>0</c:v>
                </c:pt>
                <c:pt idx="169">
                  <c:v>3522</c:v>
                </c:pt>
                <c:pt idx="170">
                  <c:v>4021</c:v>
                </c:pt>
                <c:pt idx="171">
                  <c:v>0</c:v>
                </c:pt>
                <c:pt idx="172">
                  <c:v>0</c:v>
                </c:pt>
                <c:pt idx="173">
                  <c:v>8137</c:v>
                </c:pt>
                <c:pt idx="174">
                  <c:v>0</c:v>
                </c:pt>
                <c:pt idx="175">
                  <c:v>8016</c:v>
                </c:pt>
                <c:pt idx="176">
                  <c:v>0</c:v>
                </c:pt>
                <c:pt idx="177">
                  <c:v>0</c:v>
                </c:pt>
                <c:pt idx="178">
                  <c:v>0</c:v>
                </c:pt>
                <c:pt idx="179">
                  <c:v>0</c:v>
                </c:pt>
                <c:pt idx="180">
                  <c:v>0</c:v>
                </c:pt>
                <c:pt idx="181">
                  <c:v>0</c:v>
                </c:pt>
                <c:pt idx="182">
                  <c:v>585</c:v>
                </c:pt>
                <c:pt idx="183">
                  <c:v>0</c:v>
                </c:pt>
                <c:pt idx="184">
                  <c:v>5996</c:v>
                </c:pt>
                <c:pt idx="185">
                  <c:v>5415</c:v>
                </c:pt>
                <c:pt idx="186">
                  <c:v>0</c:v>
                </c:pt>
                <c:pt idx="187">
                  <c:v>0</c:v>
                </c:pt>
                <c:pt idx="188">
                  <c:v>2330</c:v>
                </c:pt>
                <c:pt idx="189">
                  <c:v>5439</c:v>
                </c:pt>
                <c:pt idx="190">
                  <c:v>3534</c:v>
                </c:pt>
                <c:pt idx="191">
                  <c:v>7951</c:v>
                </c:pt>
                <c:pt idx="192">
                  <c:v>0</c:v>
                </c:pt>
                <c:pt idx="193">
                  <c:v>0</c:v>
                </c:pt>
                <c:pt idx="194">
                  <c:v>0</c:v>
                </c:pt>
                <c:pt idx="195">
                  <c:v>0</c:v>
                </c:pt>
                <c:pt idx="196">
                  <c:v>7085</c:v>
                </c:pt>
                <c:pt idx="197">
                  <c:v>0</c:v>
                </c:pt>
                <c:pt idx="198">
                  <c:v>5234</c:v>
                </c:pt>
                <c:pt idx="199">
                  <c:v>0</c:v>
                </c:pt>
              </c:numCache>
            </c:numRef>
          </c:yVal>
          <c:smooth val="0"/>
          <c:extLst>
            <c:ext xmlns:c16="http://schemas.microsoft.com/office/drawing/2014/chart" uri="{C3380CC4-5D6E-409C-BE32-E72D297353CC}">
              <c16:uniqueId val="{00000000-0DC8-479D-B9C1-FEEA855213B6}"/>
            </c:ext>
          </c:extLst>
        </c:ser>
        <c:dLbls>
          <c:showLegendKey val="0"/>
          <c:showVal val="0"/>
          <c:showCatName val="0"/>
          <c:showSerName val="0"/>
          <c:showPercent val="0"/>
          <c:showBubbleSize val="0"/>
        </c:dLbls>
        <c:axId val="1220479055"/>
        <c:axId val="1220480495"/>
      </c:scatterChart>
      <c:valAx>
        <c:axId val="1220479055"/>
        <c:scaling>
          <c:orientation val="minMax"/>
        </c:scaling>
        <c:delete val="0"/>
        <c:axPos val="b"/>
        <c:majorGridlines>
          <c:spPr>
            <a:ln w="9525" cap="flat" cmpd="sng" algn="ctr">
              <a:solidFill>
                <a:schemeClr val="tx1">
                  <a:lumMod val="15000"/>
                  <a:lumOff val="85000"/>
                </a:schemeClr>
              </a:solidFill>
              <a:round/>
            </a:ln>
            <a:effectLst/>
          </c:spPr>
        </c:majorGridlines>
        <c:numFmt formatCode="_-[$£-809]* #,##0_-;\-[$£-809]* #,##0_-;_-[$£-809]*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20480495"/>
        <c:crosses val="autoZero"/>
        <c:crossBetween val="midCat"/>
      </c:valAx>
      <c:valAx>
        <c:axId val="1220480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204790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[UK_Financial_Institutions_Fraud_Dataset.xlsx]Pivot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ysClr val="windowText" lastClr="000000"/>
                </a:solidFill>
              </a:rPr>
              <a:t>Net Profit By Bank</a:t>
            </a:r>
            <a:endParaRPr lang="en-US" b="1">
              <a:solidFill>
                <a:sysClr val="windowText" lastClr="000000"/>
              </a:solidFill>
            </a:endParaRPr>
          </a:p>
        </c:rich>
      </c:tx>
      <c:overlay val="0"/>
      <c:spPr>
        <a:solidFill>
          <a:schemeClr val="accent3">
            <a:lumMod val="60000"/>
            <a:lumOff val="40000"/>
            <a:alpha val="80000"/>
          </a:schemeClr>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28575" cap="rnd">
              <a:solidFill>
                <a:srgbClr val="00B050"/>
              </a:solidFill>
              <a:round/>
            </a:ln>
            <a:effectLst/>
          </c:spPr>
          <c:marker>
            <c:symbol val="none"/>
          </c:marker>
          <c:cat>
            <c:strRef>
              <c:f>'Pivot table'!$A$4:$A$14</c:f>
              <c:strCache>
                <c:ptCount val="10"/>
                <c:pt idx="0">
                  <c:v>Coventry Bldg Soc</c:v>
                </c:pt>
                <c:pt idx="1">
                  <c:v>Barclays PLC</c:v>
                </c:pt>
                <c:pt idx="2">
                  <c:v>HSBC UK</c:v>
                </c:pt>
                <c:pt idx="3">
                  <c:v>Virgin Money UK</c:v>
                </c:pt>
                <c:pt idx="4">
                  <c:v>NatWest Group</c:v>
                </c:pt>
                <c:pt idx="5">
                  <c:v>Skipton Bldg Soc</c:v>
                </c:pt>
                <c:pt idx="6">
                  <c:v>Nationwide Bldg Soc</c:v>
                </c:pt>
                <c:pt idx="7">
                  <c:v>Santander UK</c:v>
                </c:pt>
                <c:pt idx="8">
                  <c:v>TSB Bank</c:v>
                </c:pt>
                <c:pt idx="9">
                  <c:v>Atom Bank</c:v>
                </c:pt>
              </c:strCache>
            </c:strRef>
          </c:cat>
          <c:val>
            <c:numRef>
              <c:f>'Pivot table'!$B$4:$B$14</c:f>
              <c:numCache>
                <c:formatCode>_-[$£-809]* #,##0.00_-;\-[$£-809]* #,##0.00_-;_-[$£-809]* "-"??_-;_-@_-</c:formatCode>
                <c:ptCount val="10"/>
                <c:pt idx="0">
                  <c:v>50393.539999999994</c:v>
                </c:pt>
                <c:pt idx="1">
                  <c:v>49977.179999999993</c:v>
                </c:pt>
                <c:pt idx="2">
                  <c:v>49751.86</c:v>
                </c:pt>
                <c:pt idx="3">
                  <c:v>45274.509999999995</c:v>
                </c:pt>
                <c:pt idx="4">
                  <c:v>41056.589999999997</c:v>
                </c:pt>
                <c:pt idx="5">
                  <c:v>40478.42</c:v>
                </c:pt>
                <c:pt idx="6">
                  <c:v>40258.589999999997</c:v>
                </c:pt>
                <c:pt idx="7">
                  <c:v>35950.399999999994</c:v>
                </c:pt>
                <c:pt idx="8">
                  <c:v>34632.25</c:v>
                </c:pt>
                <c:pt idx="9">
                  <c:v>33812.89</c:v>
                </c:pt>
              </c:numCache>
            </c:numRef>
          </c:val>
          <c:smooth val="0"/>
          <c:extLst>
            <c:ext xmlns:c16="http://schemas.microsoft.com/office/drawing/2014/chart" uri="{C3380CC4-5D6E-409C-BE32-E72D297353CC}">
              <c16:uniqueId val="{00000000-C1F7-4349-9E8E-6624F9EE9A35}"/>
            </c:ext>
          </c:extLst>
        </c:ser>
        <c:dLbls>
          <c:showLegendKey val="0"/>
          <c:showVal val="0"/>
          <c:showCatName val="0"/>
          <c:showSerName val="0"/>
          <c:showPercent val="0"/>
          <c:showBubbleSize val="0"/>
        </c:dLbls>
        <c:smooth val="0"/>
        <c:axId val="1803123343"/>
        <c:axId val="1803124303"/>
      </c:lineChart>
      <c:catAx>
        <c:axId val="1803123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803124303"/>
        <c:crosses val="autoZero"/>
        <c:auto val="1"/>
        <c:lblAlgn val="ctr"/>
        <c:lblOffset val="100"/>
        <c:noMultiLvlLbl val="0"/>
      </c:catAx>
      <c:valAx>
        <c:axId val="1803124303"/>
        <c:scaling>
          <c:orientation val="minMax"/>
        </c:scaling>
        <c:delete val="0"/>
        <c:axPos val="l"/>
        <c:numFmt formatCode="_-[$£-809]* #,##0.00_-;\-[$£-809]* #,##0.0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803123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[UK_Financial_Institutions_Fraud_Dataset.xlsx]Pivot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ysClr val="windowText" lastClr="000000"/>
                </a:solidFill>
              </a:rPr>
              <a:t>Cost to income ratio By Bank </a:t>
            </a:r>
            <a:endParaRPr lang="en-US" b="1">
              <a:solidFill>
                <a:sysClr val="windowText" lastClr="000000"/>
              </a:solidFill>
            </a:endParaRPr>
          </a:p>
        </c:rich>
      </c:tx>
      <c:overlay val="0"/>
      <c:spPr>
        <a:solidFill>
          <a:schemeClr val="accent3">
            <a:lumMod val="60000"/>
            <a:lumOff val="40000"/>
            <a:alpha val="80000"/>
          </a:schemeClr>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table'!$B$27</c:f>
              <c:strCache>
                <c:ptCount val="1"/>
                <c:pt idx="0">
                  <c:v>Total</c:v>
                </c:pt>
              </c:strCache>
            </c:strRef>
          </c:tx>
          <c:spPr>
            <a:solidFill>
              <a:srgbClr val="00B050"/>
            </a:solidFill>
            <a:ln>
              <a:noFill/>
            </a:ln>
            <a:effectLst/>
          </c:spPr>
          <c:invertIfNegative val="0"/>
          <c:cat>
            <c:strRef>
              <c:f>'Pivot table'!$A$28:$A$38</c:f>
              <c:strCache>
                <c:ptCount val="10"/>
                <c:pt idx="0">
                  <c:v>Standard Chartered</c:v>
                </c:pt>
                <c:pt idx="1">
                  <c:v>Nationwide Bldg Soc</c:v>
                </c:pt>
                <c:pt idx="2">
                  <c:v>Aldermore Bank</c:v>
                </c:pt>
                <c:pt idx="3">
                  <c:v>Close Brothers</c:v>
                </c:pt>
                <c:pt idx="4">
                  <c:v>TSB Bank</c:v>
                </c:pt>
                <c:pt idx="5">
                  <c:v>Santander UK</c:v>
                </c:pt>
                <c:pt idx="6">
                  <c:v>Barclays PLC</c:v>
                </c:pt>
                <c:pt idx="7">
                  <c:v>Monzo Bank</c:v>
                </c:pt>
                <c:pt idx="8">
                  <c:v>HSBC UK</c:v>
                </c:pt>
                <c:pt idx="9">
                  <c:v>Lloyds Banking Grp</c:v>
                </c:pt>
              </c:strCache>
            </c:strRef>
          </c:cat>
          <c:val>
            <c:numRef>
              <c:f>'Pivot table'!$B$28:$B$38</c:f>
              <c:numCache>
                <c:formatCode>0.00%</c:formatCode>
                <c:ptCount val="10"/>
                <c:pt idx="0">
                  <c:v>6.3942110382774281E-2</c:v>
                </c:pt>
                <c:pt idx="1">
                  <c:v>6.6505741196672186E-2</c:v>
                </c:pt>
                <c:pt idx="2">
                  <c:v>7.5234983969806157E-2</c:v>
                </c:pt>
                <c:pt idx="3">
                  <c:v>8.456926039076107E-2</c:v>
                </c:pt>
                <c:pt idx="4">
                  <c:v>8.801345559570066E-2</c:v>
                </c:pt>
                <c:pt idx="5">
                  <c:v>8.9450449108225374E-2</c:v>
                </c:pt>
                <c:pt idx="6">
                  <c:v>8.9713822720339065E-2</c:v>
                </c:pt>
                <c:pt idx="7">
                  <c:v>9.6565930060048502E-2</c:v>
                </c:pt>
                <c:pt idx="8">
                  <c:v>0.14885773049692128</c:v>
                </c:pt>
                <c:pt idx="9">
                  <c:v>0.1971465160787515</c:v>
                </c:pt>
              </c:numCache>
            </c:numRef>
          </c:val>
          <c:extLst>
            <c:ext xmlns:c16="http://schemas.microsoft.com/office/drawing/2014/chart" uri="{C3380CC4-5D6E-409C-BE32-E72D297353CC}">
              <c16:uniqueId val="{00000000-0A83-4267-B1F1-C71ADA251F1A}"/>
            </c:ext>
          </c:extLst>
        </c:ser>
        <c:dLbls>
          <c:showLegendKey val="0"/>
          <c:showVal val="0"/>
          <c:showCatName val="0"/>
          <c:showSerName val="0"/>
          <c:showPercent val="0"/>
          <c:showBubbleSize val="0"/>
        </c:dLbls>
        <c:gapWidth val="182"/>
        <c:axId val="1311571599"/>
        <c:axId val="1311573519"/>
      </c:barChart>
      <c:catAx>
        <c:axId val="1311571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311573519"/>
        <c:crosses val="autoZero"/>
        <c:auto val="1"/>
        <c:lblAlgn val="ctr"/>
        <c:lblOffset val="100"/>
        <c:noMultiLvlLbl val="0"/>
      </c:catAx>
      <c:valAx>
        <c:axId val="1311573519"/>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311571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[UK_Financial_Institutions_Fraud_Dataset.xlsx]Pivot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Interest income dependency Trend</a:t>
            </a:r>
          </a:p>
        </c:rich>
      </c:tx>
      <c:overlay val="0"/>
      <c:spPr>
        <a:solidFill>
          <a:schemeClr val="accent3">
            <a:lumMod val="60000"/>
            <a:lumOff val="40000"/>
            <a:alpha val="80000"/>
          </a:schemeClr>
        </a:solidFill>
        <a:ln>
          <a:solidFill>
            <a:schemeClr val="tx1"/>
          </a:solidFill>
        </a:ln>
        <a:effectLst>
          <a:outerShdw blurRad="50800" dist="38100" dir="2700000" algn="tl" rotWithShape="0">
            <a:prstClr val="black">
              <a:alpha val="40000"/>
            </a:prstClr>
          </a:outerShdw>
        </a:effectLst>
      </c:spPr>
    </c:title>
    <c:autoTitleDeleted val="0"/>
    <c:pivotFmts>
      <c:pivotFmt>
        <c:idx val="0"/>
        <c:spPr>
          <a:solidFill>
            <a:srgbClr val="00B050"/>
          </a:solidFill>
          <a:ln>
            <a:noFill/>
          </a:ln>
          <a:effectLst/>
        </c:spPr>
        <c:marker>
          <c:symbol val="none"/>
        </c:marker>
        <c:dLbl>
          <c:idx val="0"/>
          <c:delete val="1"/>
          <c:extLst>
            <c:ext xmlns:c15="http://schemas.microsoft.com/office/drawing/2012/chart" uri="{CE6537A1-D6FC-4f65-9D91-7224C49458BB}"/>
          </c:extLst>
        </c:dLbl>
      </c:pivotFmt>
      <c:pivotFmt>
        <c:idx val="1"/>
        <c:spPr>
          <a:solidFill>
            <a:srgbClr val="00B050"/>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00B050"/>
          </a:solidFill>
          <a:ln>
            <a:noFill/>
          </a:ln>
          <a:effectLst/>
        </c:spPr>
        <c:marker>
          <c:symbol val="none"/>
        </c:marker>
        <c:dLbl>
          <c:idx val="0"/>
          <c:delete val="1"/>
          <c:extLst>
            <c:ext xmlns:c15="http://schemas.microsoft.com/office/drawing/2012/chart" uri="{CE6537A1-D6FC-4f65-9D91-7224C49458BB}"/>
          </c:extLst>
        </c:dLbl>
      </c:pivotFmt>
      <c:pivotFmt>
        <c:idx val="3"/>
        <c:spPr>
          <a:solidFill>
            <a:srgbClr val="00B050"/>
          </a:solidFill>
          <a:ln>
            <a:solidFill>
              <a:srgbClr val="00B050"/>
            </a:solidFill>
          </a:ln>
          <a:effectLst/>
        </c:spPr>
        <c:marker>
          <c:symbol val="none"/>
        </c:marker>
        <c:dLbl>
          <c:idx val="0"/>
          <c:delete val="1"/>
          <c:extLst>
            <c:ext xmlns:c15="http://schemas.microsoft.com/office/drawing/2012/chart" uri="{CE6537A1-D6FC-4f65-9D91-7224C49458BB}"/>
          </c:extLst>
        </c:dLbl>
      </c:pivotFmt>
      <c:pivotFmt>
        <c:idx val="4"/>
        <c:spPr>
          <a:ln>
            <a:solidFill>
              <a:srgbClr val="00B050"/>
            </a:solidFill>
          </a:ln>
          <a:effectLst/>
        </c:spPr>
        <c:marker>
          <c:symbol val="none"/>
        </c:marker>
        <c:dLbl>
          <c:idx val="0"/>
          <c:delete val="1"/>
          <c:extLst>
            <c:ext xmlns:c15="http://schemas.microsoft.com/office/drawing/2012/chart" uri="{CE6537A1-D6FC-4f65-9D91-7224C49458BB}"/>
          </c:extLst>
        </c:dLbl>
      </c:pivotFmt>
      <c:pivotFmt>
        <c:idx val="5"/>
        <c:spPr>
          <a:ln>
            <a:solidFill>
              <a:srgbClr val="00B050"/>
            </a:solidFill>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 table'!$B$51</c:f>
              <c:strCache>
                <c:ptCount val="1"/>
                <c:pt idx="0">
                  <c:v>Total</c:v>
                </c:pt>
              </c:strCache>
            </c:strRef>
          </c:tx>
          <c:spPr>
            <a:ln>
              <a:solidFill>
                <a:srgbClr val="00B050"/>
              </a:solidFill>
            </a:ln>
            <a:effectLst/>
          </c:spPr>
          <c:marker>
            <c:symbol val="none"/>
          </c:marker>
          <c:cat>
            <c:strRef>
              <c:f>'Pivot table'!$A$52:$A$62</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 table'!$B$52:$B$62</c:f>
              <c:numCache>
                <c:formatCode>0.00%</c:formatCode>
                <c:ptCount val="10"/>
                <c:pt idx="0">
                  <c:v>0.10587401342345577</c:v>
                </c:pt>
                <c:pt idx="1">
                  <c:v>0.10728436878075412</c:v>
                </c:pt>
                <c:pt idx="2">
                  <c:v>4.4784885039714506E-2</c:v>
                </c:pt>
                <c:pt idx="3">
                  <c:v>5.2853246294013889E-2</c:v>
                </c:pt>
                <c:pt idx="4">
                  <c:v>0.19583463430965015</c:v>
                </c:pt>
                <c:pt idx="5">
                  <c:v>0.12110332034295825</c:v>
                </c:pt>
                <c:pt idx="6">
                  <c:v>8.2682245748998823E-2</c:v>
                </c:pt>
                <c:pt idx="7">
                  <c:v>9.0468009138414796E-2</c:v>
                </c:pt>
                <c:pt idx="8">
                  <c:v>4.0275439303454549E-2</c:v>
                </c:pt>
                <c:pt idx="9">
                  <c:v>0.15883983761858519</c:v>
                </c:pt>
              </c:numCache>
            </c:numRef>
          </c:val>
          <c:smooth val="0"/>
          <c:extLst>
            <c:ext xmlns:c16="http://schemas.microsoft.com/office/drawing/2014/chart" uri="{C3380CC4-5D6E-409C-BE32-E72D297353CC}">
              <c16:uniqueId val="{00000000-2A36-48BE-A609-81F50527FC32}"/>
            </c:ext>
          </c:extLst>
        </c:ser>
        <c:dLbls>
          <c:showLegendKey val="0"/>
          <c:showVal val="0"/>
          <c:showCatName val="0"/>
          <c:showSerName val="0"/>
          <c:showPercent val="0"/>
          <c:showBubbleSize val="0"/>
        </c:dLbls>
        <c:smooth val="0"/>
        <c:axId val="1311571599"/>
        <c:axId val="1311573519"/>
      </c:lineChart>
      <c:catAx>
        <c:axId val="1311571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311573519"/>
        <c:crosses val="autoZero"/>
        <c:auto val="1"/>
        <c:lblAlgn val="ctr"/>
        <c:lblOffset val="100"/>
        <c:noMultiLvlLbl val="0"/>
      </c:catAx>
      <c:valAx>
        <c:axId val="1311573519"/>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311571599"/>
        <c:crosses val="autoZero"/>
        <c:crossBetween val="between"/>
      </c:valAx>
    </c:plotArea>
    <c:plotVisOnly val="1"/>
    <c:dispBlanksAs val="gap"/>
    <c:showDLblsOverMax val="0"/>
    <c:extLst/>
  </c:chart>
  <c:spPr>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Suspicious Transaction VS Fraud</a:t>
            </a:r>
            <a:r>
              <a:rPr lang="en-US" b="1" baseline="0">
                <a:solidFill>
                  <a:sysClr val="windowText" lastClr="000000"/>
                </a:solidFill>
              </a:rPr>
              <a:t> Loss</a:t>
            </a:r>
            <a:endParaRPr lang="en-US" b="1">
              <a:solidFill>
                <a:sysClr val="windowText" lastClr="000000"/>
              </a:solidFill>
            </a:endParaRPr>
          </a:p>
        </c:rich>
      </c:tx>
      <c:overlay val="0"/>
      <c:spPr>
        <a:solidFill>
          <a:schemeClr val="accent3">
            <a:lumMod val="60000"/>
            <a:lumOff val="40000"/>
            <a:alpha val="80000"/>
          </a:schemeClr>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'Power query'!$E$1</c:f>
              <c:strCache>
                <c:ptCount val="1"/>
                <c:pt idx="0">
                  <c:v>Suspicious</c:v>
                </c:pt>
              </c:strCache>
            </c:strRef>
          </c:tx>
          <c:spPr>
            <a:ln w="28575" cap="rnd">
              <a:noFill/>
              <a:round/>
            </a:ln>
            <a:effectLst/>
          </c:spPr>
          <c:marker>
            <c:symbol val="circle"/>
            <c:size val="5"/>
            <c:spPr>
              <a:solidFill>
                <a:srgbClr val="00B050"/>
              </a:solidFill>
              <a:ln w="9525">
                <a:solidFill>
                  <a:schemeClr val="accent1"/>
                </a:solidFill>
              </a:ln>
              <a:effectLst/>
            </c:spPr>
          </c:marker>
          <c:xVal>
            <c:numRef>
              <c:f>'Power query'!$D$2:$D$201</c:f>
              <c:numCache>
                <c:formatCode>_-[$£-809]* #,##0.00_-;\-[$£-809]* #,##0.00_-;_-[$£-809]* "-"??_-;_-@_-</c:formatCode>
                <c:ptCount val="200"/>
                <c:pt idx="0">
                  <c:v>535.85</c:v>
                </c:pt>
                <c:pt idx="1">
                  <c:v>272.27999999999997</c:v>
                </c:pt>
                <c:pt idx="2">
                  <c:v>364.22</c:v>
                </c:pt>
                <c:pt idx="3">
                  <c:v>32.270000000000003</c:v>
                </c:pt>
                <c:pt idx="4">
                  <c:v>562.30999999999995</c:v>
                </c:pt>
                <c:pt idx="5">
                  <c:v>466.72</c:v>
                </c:pt>
                <c:pt idx="6">
                  <c:v>549.16</c:v>
                </c:pt>
                <c:pt idx="7">
                  <c:v>598.53</c:v>
                </c:pt>
                <c:pt idx="8">
                  <c:v>319.82</c:v>
                </c:pt>
                <c:pt idx="9">
                  <c:v>458.37</c:v>
                </c:pt>
                <c:pt idx="10">
                  <c:v>361.37</c:v>
                </c:pt>
                <c:pt idx="11">
                  <c:v>457.56</c:v>
                </c:pt>
                <c:pt idx="12">
                  <c:v>124.68</c:v>
                </c:pt>
                <c:pt idx="13">
                  <c:v>9.2799999999999994</c:v>
                </c:pt>
                <c:pt idx="14">
                  <c:v>347.85</c:v>
                </c:pt>
                <c:pt idx="15">
                  <c:v>389.48</c:v>
                </c:pt>
                <c:pt idx="16">
                  <c:v>268.66000000000003</c:v>
                </c:pt>
                <c:pt idx="17">
                  <c:v>591.26</c:v>
                </c:pt>
                <c:pt idx="18">
                  <c:v>450.05</c:v>
                </c:pt>
                <c:pt idx="19">
                  <c:v>144.94999999999999</c:v>
                </c:pt>
                <c:pt idx="20">
                  <c:v>147.02000000000001</c:v>
                </c:pt>
                <c:pt idx="21">
                  <c:v>324.89</c:v>
                </c:pt>
                <c:pt idx="22">
                  <c:v>394.12</c:v>
                </c:pt>
                <c:pt idx="23">
                  <c:v>126.14</c:v>
                </c:pt>
                <c:pt idx="24">
                  <c:v>446.03</c:v>
                </c:pt>
                <c:pt idx="25">
                  <c:v>560.19000000000005</c:v>
                </c:pt>
                <c:pt idx="26">
                  <c:v>519.44000000000005</c:v>
                </c:pt>
                <c:pt idx="27">
                  <c:v>523.94000000000005</c:v>
                </c:pt>
                <c:pt idx="28">
                  <c:v>46.31</c:v>
                </c:pt>
                <c:pt idx="29">
                  <c:v>69.5</c:v>
                </c:pt>
                <c:pt idx="30">
                  <c:v>484.87</c:v>
                </c:pt>
                <c:pt idx="31">
                  <c:v>244.43</c:v>
                </c:pt>
                <c:pt idx="32">
                  <c:v>130.06</c:v>
                </c:pt>
                <c:pt idx="33">
                  <c:v>381.6</c:v>
                </c:pt>
                <c:pt idx="34">
                  <c:v>532.25</c:v>
                </c:pt>
                <c:pt idx="35">
                  <c:v>109.65</c:v>
                </c:pt>
                <c:pt idx="36">
                  <c:v>268.33</c:v>
                </c:pt>
                <c:pt idx="37">
                  <c:v>293.33999999999997</c:v>
                </c:pt>
                <c:pt idx="38">
                  <c:v>425.32</c:v>
                </c:pt>
                <c:pt idx="39">
                  <c:v>514.76</c:v>
                </c:pt>
                <c:pt idx="40">
                  <c:v>136.22</c:v>
                </c:pt>
                <c:pt idx="41">
                  <c:v>375.24</c:v>
                </c:pt>
                <c:pt idx="42">
                  <c:v>205.81</c:v>
                </c:pt>
                <c:pt idx="43">
                  <c:v>392.79</c:v>
                </c:pt>
                <c:pt idx="44">
                  <c:v>224.49</c:v>
                </c:pt>
                <c:pt idx="45">
                  <c:v>357.3</c:v>
                </c:pt>
                <c:pt idx="46">
                  <c:v>390.29</c:v>
                </c:pt>
                <c:pt idx="47">
                  <c:v>165.7</c:v>
                </c:pt>
                <c:pt idx="48">
                  <c:v>344.06</c:v>
                </c:pt>
                <c:pt idx="49">
                  <c:v>335.7</c:v>
                </c:pt>
                <c:pt idx="50">
                  <c:v>180.07</c:v>
                </c:pt>
                <c:pt idx="51">
                  <c:v>154.59</c:v>
                </c:pt>
                <c:pt idx="52">
                  <c:v>173.38</c:v>
                </c:pt>
                <c:pt idx="53">
                  <c:v>566.73</c:v>
                </c:pt>
                <c:pt idx="54">
                  <c:v>243.42</c:v>
                </c:pt>
                <c:pt idx="55">
                  <c:v>466.54</c:v>
                </c:pt>
                <c:pt idx="56">
                  <c:v>130.56</c:v>
                </c:pt>
                <c:pt idx="57">
                  <c:v>173.22</c:v>
                </c:pt>
                <c:pt idx="58">
                  <c:v>163.05000000000001</c:v>
                </c:pt>
                <c:pt idx="59">
                  <c:v>565.89</c:v>
                </c:pt>
                <c:pt idx="60">
                  <c:v>517.01</c:v>
                </c:pt>
                <c:pt idx="61">
                  <c:v>581.59</c:v>
                </c:pt>
                <c:pt idx="62">
                  <c:v>457.5</c:v>
                </c:pt>
                <c:pt idx="63">
                  <c:v>279.88</c:v>
                </c:pt>
                <c:pt idx="64">
                  <c:v>420.46</c:v>
                </c:pt>
                <c:pt idx="65">
                  <c:v>74.89</c:v>
                </c:pt>
                <c:pt idx="66">
                  <c:v>553.51</c:v>
                </c:pt>
                <c:pt idx="67">
                  <c:v>599.35</c:v>
                </c:pt>
                <c:pt idx="68">
                  <c:v>345.22</c:v>
                </c:pt>
                <c:pt idx="69">
                  <c:v>579.07000000000005</c:v>
                </c:pt>
                <c:pt idx="70">
                  <c:v>470.01</c:v>
                </c:pt>
                <c:pt idx="71">
                  <c:v>524.07000000000005</c:v>
                </c:pt>
                <c:pt idx="72">
                  <c:v>183.18</c:v>
                </c:pt>
                <c:pt idx="73">
                  <c:v>51.99</c:v>
                </c:pt>
                <c:pt idx="74">
                  <c:v>330.23</c:v>
                </c:pt>
                <c:pt idx="75">
                  <c:v>345.29</c:v>
                </c:pt>
                <c:pt idx="76">
                  <c:v>542.97</c:v>
                </c:pt>
                <c:pt idx="77">
                  <c:v>62.81</c:v>
                </c:pt>
                <c:pt idx="78">
                  <c:v>325.95</c:v>
                </c:pt>
                <c:pt idx="79">
                  <c:v>516.78</c:v>
                </c:pt>
                <c:pt idx="80">
                  <c:v>564.47</c:v>
                </c:pt>
                <c:pt idx="81">
                  <c:v>391.3</c:v>
                </c:pt>
                <c:pt idx="82">
                  <c:v>419.41</c:v>
                </c:pt>
                <c:pt idx="83">
                  <c:v>268.81</c:v>
                </c:pt>
                <c:pt idx="84">
                  <c:v>399.35</c:v>
                </c:pt>
                <c:pt idx="85">
                  <c:v>465.75</c:v>
                </c:pt>
                <c:pt idx="86">
                  <c:v>355.37</c:v>
                </c:pt>
                <c:pt idx="87">
                  <c:v>273.94</c:v>
                </c:pt>
                <c:pt idx="88">
                  <c:v>546.27</c:v>
                </c:pt>
                <c:pt idx="89">
                  <c:v>274.95999999999998</c:v>
                </c:pt>
                <c:pt idx="90">
                  <c:v>439.12</c:v>
                </c:pt>
                <c:pt idx="91">
                  <c:v>226.72</c:v>
                </c:pt>
                <c:pt idx="92">
                  <c:v>362.24</c:v>
                </c:pt>
                <c:pt idx="93">
                  <c:v>139.56</c:v>
                </c:pt>
                <c:pt idx="94">
                  <c:v>396.12</c:v>
                </c:pt>
                <c:pt idx="95">
                  <c:v>565.14</c:v>
                </c:pt>
                <c:pt idx="96">
                  <c:v>454.19</c:v>
                </c:pt>
                <c:pt idx="97">
                  <c:v>9.57</c:v>
                </c:pt>
                <c:pt idx="98">
                  <c:v>337.44</c:v>
                </c:pt>
                <c:pt idx="99">
                  <c:v>177.26</c:v>
                </c:pt>
                <c:pt idx="100">
                  <c:v>316.76</c:v>
                </c:pt>
                <c:pt idx="101">
                  <c:v>575.14</c:v>
                </c:pt>
                <c:pt idx="102">
                  <c:v>281.05</c:v>
                </c:pt>
                <c:pt idx="103">
                  <c:v>189.69</c:v>
                </c:pt>
                <c:pt idx="104">
                  <c:v>572.77</c:v>
                </c:pt>
                <c:pt idx="105">
                  <c:v>430.02</c:v>
                </c:pt>
                <c:pt idx="106">
                  <c:v>408.94</c:v>
                </c:pt>
                <c:pt idx="107">
                  <c:v>203.35</c:v>
                </c:pt>
                <c:pt idx="108">
                  <c:v>423.18</c:v>
                </c:pt>
                <c:pt idx="109">
                  <c:v>599.99</c:v>
                </c:pt>
                <c:pt idx="110">
                  <c:v>229.15</c:v>
                </c:pt>
                <c:pt idx="111">
                  <c:v>272.11</c:v>
                </c:pt>
                <c:pt idx="112">
                  <c:v>254.1</c:v>
                </c:pt>
                <c:pt idx="113">
                  <c:v>174.61</c:v>
                </c:pt>
                <c:pt idx="114">
                  <c:v>303.69</c:v>
                </c:pt>
                <c:pt idx="115">
                  <c:v>550.85</c:v>
                </c:pt>
                <c:pt idx="116">
                  <c:v>319.02</c:v>
                </c:pt>
                <c:pt idx="117">
                  <c:v>323.95</c:v>
                </c:pt>
                <c:pt idx="118">
                  <c:v>219.56</c:v>
                </c:pt>
                <c:pt idx="119">
                  <c:v>395.98</c:v>
                </c:pt>
                <c:pt idx="120">
                  <c:v>113.46</c:v>
                </c:pt>
                <c:pt idx="121">
                  <c:v>490.17</c:v>
                </c:pt>
                <c:pt idx="122">
                  <c:v>243.01</c:v>
                </c:pt>
                <c:pt idx="123">
                  <c:v>363.46</c:v>
                </c:pt>
                <c:pt idx="124">
                  <c:v>30.2</c:v>
                </c:pt>
                <c:pt idx="125">
                  <c:v>366.51</c:v>
                </c:pt>
                <c:pt idx="126">
                  <c:v>226.35</c:v>
                </c:pt>
                <c:pt idx="127">
                  <c:v>339.2</c:v>
                </c:pt>
                <c:pt idx="128">
                  <c:v>539.71</c:v>
                </c:pt>
                <c:pt idx="129">
                  <c:v>384.43</c:v>
                </c:pt>
                <c:pt idx="130">
                  <c:v>369.11</c:v>
                </c:pt>
                <c:pt idx="131">
                  <c:v>282.17</c:v>
                </c:pt>
                <c:pt idx="132">
                  <c:v>561.16999999999996</c:v>
                </c:pt>
                <c:pt idx="133">
                  <c:v>386.39</c:v>
                </c:pt>
                <c:pt idx="134">
                  <c:v>461.34</c:v>
                </c:pt>
                <c:pt idx="135">
                  <c:v>252.29</c:v>
                </c:pt>
                <c:pt idx="136">
                  <c:v>68.180000000000007</c:v>
                </c:pt>
                <c:pt idx="137">
                  <c:v>541.87</c:v>
                </c:pt>
                <c:pt idx="138">
                  <c:v>148.22999999999999</c:v>
                </c:pt>
                <c:pt idx="139">
                  <c:v>530.05999999999995</c:v>
                </c:pt>
                <c:pt idx="140">
                  <c:v>171.43</c:v>
                </c:pt>
                <c:pt idx="141">
                  <c:v>28.15</c:v>
                </c:pt>
                <c:pt idx="142">
                  <c:v>506.35</c:v>
                </c:pt>
                <c:pt idx="143">
                  <c:v>414.39</c:v>
                </c:pt>
                <c:pt idx="144">
                  <c:v>149.11000000000001</c:v>
                </c:pt>
                <c:pt idx="145">
                  <c:v>442.82</c:v>
                </c:pt>
                <c:pt idx="146">
                  <c:v>330.03</c:v>
                </c:pt>
                <c:pt idx="147">
                  <c:v>295.95999999999998</c:v>
                </c:pt>
                <c:pt idx="148">
                  <c:v>92.15</c:v>
                </c:pt>
                <c:pt idx="149">
                  <c:v>166.61</c:v>
                </c:pt>
                <c:pt idx="150">
                  <c:v>8.08</c:v>
                </c:pt>
                <c:pt idx="151">
                  <c:v>346.61</c:v>
                </c:pt>
                <c:pt idx="152">
                  <c:v>526.66</c:v>
                </c:pt>
                <c:pt idx="153">
                  <c:v>167.34</c:v>
                </c:pt>
                <c:pt idx="154">
                  <c:v>514.41</c:v>
                </c:pt>
                <c:pt idx="155">
                  <c:v>145.13999999999999</c:v>
                </c:pt>
                <c:pt idx="156">
                  <c:v>554.25</c:v>
                </c:pt>
                <c:pt idx="157">
                  <c:v>422.65</c:v>
                </c:pt>
                <c:pt idx="158">
                  <c:v>125.28</c:v>
                </c:pt>
                <c:pt idx="159">
                  <c:v>274.79000000000002</c:v>
                </c:pt>
                <c:pt idx="160">
                  <c:v>48.45</c:v>
                </c:pt>
                <c:pt idx="161">
                  <c:v>460.67</c:v>
                </c:pt>
                <c:pt idx="162">
                  <c:v>595.74</c:v>
                </c:pt>
                <c:pt idx="163">
                  <c:v>97.3</c:v>
                </c:pt>
                <c:pt idx="164">
                  <c:v>150.62</c:v>
                </c:pt>
                <c:pt idx="165">
                  <c:v>347.79</c:v>
                </c:pt>
                <c:pt idx="166">
                  <c:v>408.86</c:v>
                </c:pt>
                <c:pt idx="167">
                  <c:v>139.08000000000001</c:v>
                </c:pt>
                <c:pt idx="168">
                  <c:v>225.79</c:v>
                </c:pt>
                <c:pt idx="169">
                  <c:v>134.12</c:v>
                </c:pt>
                <c:pt idx="170">
                  <c:v>126.69</c:v>
                </c:pt>
                <c:pt idx="171">
                  <c:v>434.84</c:v>
                </c:pt>
                <c:pt idx="172">
                  <c:v>253.46</c:v>
                </c:pt>
                <c:pt idx="173">
                  <c:v>580.07000000000005</c:v>
                </c:pt>
                <c:pt idx="174">
                  <c:v>25.13</c:v>
                </c:pt>
                <c:pt idx="175">
                  <c:v>401.72</c:v>
                </c:pt>
                <c:pt idx="176">
                  <c:v>420.23</c:v>
                </c:pt>
                <c:pt idx="177">
                  <c:v>575.78</c:v>
                </c:pt>
                <c:pt idx="178">
                  <c:v>229.42</c:v>
                </c:pt>
                <c:pt idx="179">
                  <c:v>319.25</c:v>
                </c:pt>
                <c:pt idx="180">
                  <c:v>511</c:v>
                </c:pt>
                <c:pt idx="181">
                  <c:v>233.39</c:v>
                </c:pt>
                <c:pt idx="182">
                  <c:v>465.27</c:v>
                </c:pt>
                <c:pt idx="183">
                  <c:v>180.75</c:v>
                </c:pt>
                <c:pt idx="184">
                  <c:v>188.42</c:v>
                </c:pt>
                <c:pt idx="185">
                  <c:v>360.17</c:v>
                </c:pt>
                <c:pt idx="186">
                  <c:v>412.76</c:v>
                </c:pt>
                <c:pt idx="187">
                  <c:v>566.80999999999995</c:v>
                </c:pt>
                <c:pt idx="188">
                  <c:v>261.22000000000003</c:v>
                </c:pt>
                <c:pt idx="189">
                  <c:v>470.27</c:v>
                </c:pt>
                <c:pt idx="190">
                  <c:v>437.69</c:v>
                </c:pt>
                <c:pt idx="191">
                  <c:v>49.01</c:v>
                </c:pt>
                <c:pt idx="192">
                  <c:v>462.53</c:v>
                </c:pt>
                <c:pt idx="193">
                  <c:v>158.94999999999999</c:v>
                </c:pt>
                <c:pt idx="194">
                  <c:v>252.51</c:v>
                </c:pt>
                <c:pt idx="195">
                  <c:v>194.75</c:v>
                </c:pt>
                <c:pt idx="196">
                  <c:v>100.28</c:v>
                </c:pt>
                <c:pt idx="197">
                  <c:v>236.36</c:v>
                </c:pt>
                <c:pt idx="198">
                  <c:v>296.24</c:v>
                </c:pt>
                <c:pt idx="199">
                  <c:v>370.62</c:v>
                </c:pt>
              </c:numCache>
            </c:numRef>
          </c:xVal>
          <c:yVal>
            <c:numRef>
              <c:f>'Power query'!$E$2:$E$201</c:f>
              <c:numCache>
                <c:formatCode>General</c:formatCode>
                <c:ptCount val="200"/>
                <c:pt idx="0">
                  <c:v>1524</c:v>
                </c:pt>
                <c:pt idx="1">
                  <c:v>0</c:v>
                </c:pt>
                <c:pt idx="2">
                  <c:v>811</c:v>
                </c:pt>
                <c:pt idx="3">
                  <c:v>3833</c:v>
                </c:pt>
                <c:pt idx="4">
                  <c:v>0</c:v>
                </c:pt>
                <c:pt idx="5">
                  <c:v>0</c:v>
                </c:pt>
                <c:pt idx="6">
                  <c:v>0</c:v>
                </c:pt>
                <c:pt idx="7">
                  <c:v>8448</c:v>
                </c:pt>
                <c:pt idx="8">
                  <c:v>0</c:v>
                </c:pt>
                <c:pt idx="9">
                  <c:v>0</c:v>
                </c:pt>
                <c:pt idx="10">
                  <c:v>0</c:v>
                </c:pt>
                <c:pt idx="11">
                  <c:v>0</c:v>
                </c:pt>
                <c:pt idx="12">
                  <c:v>5207</c:v>
                </c:pt>
                <c:pt idx="13">
                  <c:v>0</c:v>
                </c:pt>
                <c:pt idx="14">
                  <c:v>4081</c:v>
                </c:pt>
                <c:pt idx="15">
                  <c:v>1093</c:v>
                </c:pt>
                <c:pt idx="16">
                  <c:v>0</c:v>
                </c:pt>
                <c:pt idx="17">
                  <c:v>4445</c:v>
                </c:pt>
                <c:pt idx="18">
                  <c:v>0</c:v>
                </c:pt>
                <c:pt idx="19">
                  <c:v>0</c:v>
                </c:pt>
                <c:pt idx="20">
                  <c:v>0</c:v>
                </c:pt>
                <c:pt idx="21">
                  <c:v>8388</c:v>
                </c:pt>
                <c:pt idx="22">
                  <c:v>228</c:v>
                </c:pt>
                <c:pt idx="23">
                  <c:v>4425</c:v>
                </c:pt>
                <c:pt idx="24">
                  <c:v>0</c:v>
                </c:pt>
                <c:pt idx="25">
                  <c:v>753</c:v>
                </c:pt>
                <c:pt idx="26">
                  <c:v>3000</c:v>
                </c:pt>
                <c:pt idx="27">
                  <c:v>0</c:v>
                </c:pt>
                <c:pt idx="28">
                  <c:v>4673</c:v>
                </c:pt>
                <c:pt idx="29">
                  <c:v>7219</c:v>
                </c:pt>
                <c:pt idx="30">
                  <c:v>3328</c:v>
                </c:pt>
                <c:pt idx="31">
                  <c:v>0</c:v>
                </c:pt>
                <c:pt idx="32">
                  <c:v>5379</c:v>
                </c:pt>
                <c:pt idx="33">
                  <c:v>0</c:v>
                </c:pt>
                <c:pt idx="34">
                  <c:v>3285</c:v>
                </c:pt>
                <c:pt idx="35">
                  <c:v>8586</c:v>
                </c:pt>
                <c:pt idx="36">
                  <c:v>8370</c:v>
                </c:pt>
                <c:pt idx="37">
                  <c:v>4019</c:v>
                </c:pt>
                <c:pt idx="38">
                  <c:v>1152</c:v>
                </c:pt>
                <c:pt idx="39">
                  <c:v>6332</c:v>
                </c:pt>
                <c:pt idx="40">
                  <c:v>3695</c:v>
                </c:pt>
                <c:pt idx="41">
                  <c:v>541</c:v>
                </c:pt>
                <c:pt idx="42">
                  <c:v>6311</c:v>
                </c:pt>
                <c:pt idx="43">
                  <c:v>0</c:v>
                </c:pt>
                <c:pt idx="44">
                  <c:v>0</c:v>
                </c:pt>
                <c:pt idx="45">
                  <c:v>0</c:v>
                </c:pt>
                <c:pt idx="46">
                  <c:v>307</c:v>
                </c:pt>
                <c:pt idx="47">
                  <c:v>8917</c:v>
                </c:pt>
                <c:pt idx="48">
                  <c:v>6309</c:v>
                </c:pt>
                <c:pt idx="49">
                  <c:v>0</c:v>
                </c:pt>
                <c:pt idx="50">
                  <c:v>0</c:v>
                </c:pt>
                <c:pt idx="51">
                  <c:v>0</c:v>
                </c:pt>
                <c:pt idx="52">
                  <c:v>0</c:v>
                </c:pt>
                <c:pt idx="53">
                  <c:v>0</c:v>
                </c:pt>
                <c:pt idx="54">
                  <c:v>0</c:v>
                </c:pt>
                <c:pt idx="55">
                  <c:v>6332</c:v>
                </c:pt>
                <c:pt idx="56">
                  <c:v>0</c:v>
                </c:pt>
                <c:pt idx="57">
                  <c:v>0</c:v>
                </c:pt>
                <c:pt idx="58">
                  <c:v>0</c:v>
                </c:pt>
                <c:pt idx="59">
                  <c:v>8299</c:v>
                </c:pt>
                <c:pt idx="60">
                  <c:v>439</c:v>
                </c:pt>
                <c:pt idx="61">
                  <c:v>7800</c:v>
                </c:pt>
                <c:pt idx="62">
                  <c:v>701</c:v>
                </c:pt>
                <c:pt idx="63">
                  <c:v>0</c:v>
                </c:pt>
                <c:pt idx="64">
                  <c:v>0</c:v>
                </c:pt>
                <c:pt idx="65">
                  <c:v>2622</c:v>
                </c:pt>
                <c:pt idx="66">
                  <c:v>0</c:v>
                </c:pt>
                <c:pt idx="67">
                  <c:v>0</c:v>
                </c:pt>
                <c:pt idx="68">
                  <c:v>3926</c:v>
                </c:pt>
                <c:pt idx="69">
                  <c:v>2168</c:v>
                </c:pt>
                <c:pt idx="70">
                  <c:v>4442</c:v>
                </c:pt>
                <c:pt idx="71">
                  <c:v>0</c:v>
                </c:pt>
                <c:pt idx="72">
                  <c:v>0</c:v>
                </c:pt>
                <c:pt idx="73">
                  <c:v>0</c:v>
                </c:pt>
                <c:pt idx="74">
                  <c:v>1310</c:v>
                </c:pt>
                <c:pt idx="75">
                  <c:v>4947</c:v>
                </c:pt>
                <c:pt idx="76">
                  <c:v>0</c:v>
                </c:pt>
                <c:pt idx="77">
                  <c:v>745</c:v>
                </c:pt>
                <c:pt idx="78">
                  <c:v>6094</c:v>
                </c:pt>
                <c:pt idx="79">
                  <c:v>6611</c:v>
                </c:pt>
                <c:pt idx="80">
                  <c:v>0</c:v>
                </c:pt>
                <c:pt idx="81">
                  <c:v>0</c:v>
                </c:pt>
                <c:pt idx="82">
                  <c:v>8950</c:v>
                </c:pt>
                <c:pt idx="83">
                  <c:v>3968</c:v>
                </c:pt>
                <c:pt idx="84">
                  <c:v>0</c:v>
                </c:pt>
                <c:pt idx="85">
                  <c:v>146</c:v>
                </c:pt>
                <c:pt idx="86">
                  <c:v>0</c:v>
                </c:pt>
                <c:pt idx="87">
                  <c:v>0</c:v>
                </c:pt>
                <c:pt idx="88">
                  <c:v>0</c:v>
                </c:pt>
                <c:pt idx="89">
                  <c:v>0</c:v>
                </c:pt>
                <c:pt idx="90">
                  <c:v>5220</c:v>
                </c:pt>
                <c:pt idx="91">
                  <c:v>0</c:v>
                </c:pt>
                <c:pt idx="92">
                  <c:v>0</c:v>
                </c:pt>
                <c:pt idx="93">
                  <c:v>0</c:v>
                </c:pt>
                <c:pt idx="94">
                  <c:v>0</c:v>
                </c:pt>
                <c:pt idx="95">
                  <c:v>0</c:v>
                </c:pt>
                <c:pt idx="96">
                  <c:v>1964</c:v>
                </c:pt>
                <c:pt idx="97">
                  <c:v>0</c:v>
                </c:pt>
                <c:pt idx="98">
                  <c:v>0</c:v>
                </c:pt>
                <c:pt idx="99">
                  <c:v>0</c:v>
                </c:pt>
                <c:pt idx="100">
                  <c:v>6584</c:v>
                </c:pt>
                <c:pt idx="101">
                  <c:v>0</c:v>
                </c:pt>
                <c:pt idx="102">
                  <c:v>7454</c:v>
                </c:pt>
                <c:pt idx="103">
                  <c:v>0</c:v>
                </c:pt>
                <c:pt idx="104">
                  <c:v>772</c:v>
                </c:pt>
                <c:pt idx="105">
                  <c:v>0</c:v>
                </c:pt>
                <c:pt idx="106">
                  <c:v>957</c:v>
                </c:pt>
                <c:pt idx="107">
                  <c:v>2417</c:v>
                </c:pt>
                <c:pt idx="108">
                  <c:v>0</c:v>
                </c:pt>
                <c:pt idx="109">
                  <c:v>0</c:v>
                </c:pt>
                <c:pt idx="110">
                  <c:v>0</c:v>
                </c:pt>
                <c:pt idx="111">
                  <c:v>0</c:v>
                </c:pt>
                <c:pt idx="112">
                  <c:v>0</c:v>
                </c:pt>
                <c:pt idx="113">
                  <c:v>2726</c:v>
                </c:pt>
                <c:pt idx="114">
                  <c:v>3962</c:v>
                </c:pt>
                <c:pt idx="115">
                  <c:v>0</c:v>
                </c:pt>
                <c:pt idx="116">
                  <c:v>1921</c:v>
                </c:pt>
                <c:pt idx="117">
                  <c:v>0</c:v>
                </c:pt>
                <c:pt idx="118">
                  <c:v>0</c:v>
                </c:pt>
                <c:pt idx="119">
                  <c:v>1798</c:v>
                </c:pt>
                <c:pt idx="120">
                  <c:v>0</c:v>
                </c:pt>
                <c:pt idx="121">
                  <c:v>7856</c:v>
                </c:pt>
                <c:pt idx="122">
                  <c:v>7304</c:v>
                </c:pt>
                <c:pt idx="123">
                  <c:v>3056</c:v>
                </c:pt>
                <c:pt idx="124">
                  <c:v>5876</c:v>
                </c:pt>
                <c:pt idx="125">
                  <c:v>0</c:v>
                </c:pt>
                <c:pt idx="126">
                  <c:v>0</c:v>
                </c:pt>
                <c:pt idx="127">
                  <c:v>4388</c:v>
                </c:pt>
                <c:pt idx="128">
                  <c:v>0</c:v>
                </c:pt>
                <c:pt idx="129">
                  <c:v>0</c:v>
                </c:pt>
                <c:pt idx="130">
                  <c:v>0</c:v>
                </c:pt>
                <c:pt idx="131">
                  <c:v>8576</c:v>
                </c:pt>
                <c:pt idx="132">
                  <c:v>3794</c:v>
                </c:pt>
                <c:pt idx="133">
                  <c:v>0</c:v>
                </c:pt>
                <c:pt idx="134">
                  <c:v>0</c:v>
                </c:pt>
                <c:pt idx="135">
                  <c:v>0</c:v>
                </c:pt>
                <c:pt idx="136">
                  <c:v>4060</c:v>
                </c:pt>
                <c:pt idx="137">
                  <c:v>5464</c:v>
                </c:pt>
                <c:pt idx="138">
                  <c:v>0</c:v>
                </c:pt>
                <c:pt idx="139">
                  <c:v>6092</c:v>
                </c:pt>
                <c:pt idx="140">
                  <c:v>0</c:v>
                </c:pt>
                <c:pt idx="141">
                  <c:v>5556</c:v>
                </c:pt>
                <c:pt idx="142">
                  <c:v>5611</c:v>
                </c:pt>
                <c:pt idx="143">
                  <c:v>536</c:v>
                </c:pt>
                <c:pt idx="144">
                  <c:v>0</c:v>
                </c:pt>
                <c:pt idx="145">
                  <c:v>0</c:v>
                </c:pt>
                <c:pt idx="146">
                  <c:v>4431</c:v>
                </c:pt>
                <c:pt idx="147">
                  <c:v>7961</c:v>
                </c:pt>
                <c:pt idx="148">
                  <c:v>789</c:v>
                </c:pt>
                <c:pt idx="149">
                  <c:v>0</c:v>
                </c:pt>
                <c:pt idx="150">
                  <c:v>2687</c:v>
                </c:pt>
                <c:pt idx="151">
                  <c:v>0</c:v>
                </c:pt>
                <c:pt idx="152">
                  <c:v>251</c:v>
                </c:pt>
                <c:pt idx="153">
                  <c:v>1945</c:v>
                </c:pt>
                <c:pt idx="154">
                  <c:v>6743</c:v>
                </c:pt>
                <c:pt idx="155">
                  <c:v>4474</c:v>
                </c:pt>
                <c:pt idx="156">
                  <c:v>0</c:v>
                </c:pt>
                <c:pt idx="157">
                  <c:v>0</c:v>
                </c:pt>
                <c:pt idx="158">
                  <c:v>0</c:v>
                </c:pt>
                <c:pt idx="159">
                  <c:v>8509</c:v>
                </c:pt>
                <c:pt idx="160">
                  <c:v>7041</c:v>
                </c:pt>
                <c:pt idx="161">
                  <c:v>6987</c:v>
                </c:pt>
                <c:pt idx="162">
                  <c:v>0</c:v>
                </c:pt>
                <c:pt idx="163">
                  <c:v>0</c:v>
                </c:pt>
                <c:pt idx="164">
                  <c:v>824</c:v>
                </c:pt>
                <c:pt idx="165">
                  <c:v>0</c:v>
                </c:pt>
                <c:pt idx="166">
                  <c:v>0</c:v>
                </c:pt>
                <c:pt idx="167">
                  <c:v>2465</c:v>
                </c:pt>
                <c:pt idx="168">
                  <c:v>0</c:v>
                </c:pt>
                <c:pt idx="169">
                  <c:v>3522</c:v>
                </c:pt>
                <c:pt idx="170">
                  <c:v>4021</c:v>
                </c:pt>
                <c:pt idx="171">
                  <c:v>0</c:v>
                </c:pt>
                <c:pt idx="172">
                  <c:v>0</c:v>
                </c:pt>
                <c:pt idx="173">
                  <c:v>8137</c:v>
                </c:pt>
                <c:pt idx="174">
                  <c:v>0</c:v>
                </c:pt>
                <c:pt idx="175">
                  <c:v>8016</c:v>
                </c:pt>
                <c:pt idx="176">
                  <c:v>0</c:v>
                </c:pt>
                <c:pt idx="177">
                  <c:v>0</c:v>
                </c:pt>
                <c:pt idx="178">
                  <c:v>0</c:v>
                </c:pt>
                <c:pt idx="179">
                  <c:v>0</c:v>
                </c:pt>
                <c:pt idx="180">
                  <c:v>0</c:v>
                </c:pt>
                <c:pt idx="181">
                  <c:v>0</c:v>
                </c:pt>
                <c:pt idx="182">
                  <c:v>585</c:v>
                </c:pt>
                <c:pt idx="183">
                  <c:v>0</c:v>
                </c:pt>
                <c:pt idx="184">
                  <c:v>5996</c:v>
                </c:pt>
                <c:pt idx="185">
                  <c:v>5415</c:v>
                </c:pt>
                <c:pt idx="186">
                  <c:v>0</c:v>
                </c:pt>
                <c:pt idx="187">
                  <c:v>0</c:v>
                </c:pt>
                <c:pt idx="188">
                  <c:v>2330</c:v>
                </c:pt>
                <c:pt idx="189">
                  <c:v>5439</c:v>
                </c:pt>
                <c:pt idx="190">
                  <c:v>3534</c:v>
                </c:pt>
                <c:pt idx="191">
                  <c:v>7951</c:v>
                </c:pt>
                <c:pt idx="192">
                  <c:v>0</c:v>
                </c:pt>
                <c:pt idx="193">
                  <c:v>0</c:v>
                </c:pt>
                <c:pt idx="194">
                  <c:v>0</c:v>
                </c:pt>
                <c:pt idx="195">
                  <c:v>0</c:v>
                </c:pt>
                <c:pt idx="196">
                  <c:v>7085</c:v>
                </c:pt>
                <c:pt idx="197">
                  <c:v>0</c:v>
                </c:pt>
                <c:pt idx="198">
                  <c:v>5234</c:v>
                </c:pt>
                <c:pt idx="199">
                  <c:v>0</c:v>
                </c:pt>
              </c:numCache>
            </c:numRef>
          </c:yVal>
          <c:smooth val="0"/>
          <c:extLst>
            <c:ext xmlns:c16="http://schemas.microsoft.com/office/drawing/2014/chart" uri="{C3380CC4-5D6E-409C-BE32-E72D297353CC}">
              <c16:uniqueId val="{00000000-6476-444F-971D-0FE5947EE345}"/>
            </c:ext>
          </c:extLst>
        </c:ser>
        <c:dLbls>
          <c:showLegendKey val="0"/>
          <c:showVal val="0"/>
          <c:showCatName val="0"/>
          <c:showSerName val="0"/>
          <c:showPercent val="0"/>
          <c:showBubbleSize val="0"/>
        </c:dLbls>
        <c:axId val="1220479055"/>
        <c:axId val="1220480495"/>
      </c:scatterChart>
      <c:valAx>
        <c:axId val="1220479055"/>
        <c:scaling>
          <c:orientation val="minMax"/>
        </c:scaling>
        <c:delete val="0"/>
        <c:axPos val="b"/>
        <c:numFmt formatCode="_-[$£-809]* #,##0_-;\-[$£-809]* #,##0_-;_-[$£-809]*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20480495"/>
        <c:crosses val="autoZero"/>
        <c:crossBetween val="midCat"/>
      </c:valAx>
      <c:valAx>
        <c:axId val="1220480495"/>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204790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[UK_Financial_Institutions_Fraud_Dataset.xlsx]Pivot table!PivotTable5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Fraud Loss</a:t>
            </a:r>
            <a:r>
              <a:rPr lang="en-US" b="1" baseline="0">
                <a:solidFill>
                  <a:sysClr val="windowText" lastClr="000000"/>
                </a:solidFill>
              </a:rPr>
              <a:t> Trend</a:t>
            </a:r>
            <a:endParaRPr lang="en-US" b="1">
              <a:solidFill>
                <a:sysClr val="windowText" lastClr="000000"/>
              </a:solidFill>
            </a:endParaRPr>
          </a:p>
        </c:rich>
      </c:tx>
      <c:overlay val="0"/>
      <c:spPr>
        <a:solidFill>
          <a:schemeClr val="accent3">
            <a:lumMod val="60000"/>
            <a:lumOff val="40000"/>
            <a:alpha val="80000"/>
          </a:schemeClr>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table'!$B$69</c:f>
              <c:strCache>
                <c:ptCount val="1"/>
                <c:pt idx="0">
                  <c:v>Total</c:v>
                </c:pt>
              </c:strCache>
            </c:strRef>
          </c:tx>
          <c:spPr>
            <a:ln w="28575" cap="rnd">
              <a:solidFill>
                <a:srgbClr val="00B050"/>
              </a:solidFill>
              <a:round/>
            </a:ln>
            <a:effectLst/>
          </c:spPr>
          <c:marker>
            <c:symbol val="none"/>
          </c:marker>
          <c:cat>
            <c:strRef>
              <c:f>'Pivot table'!$A$70:$A$80</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 table'!$B$70:$B$80</c:f>
              <c:numCache>
                <c:formatCode>_-[$£-809]* #,##0.00_-;\-[$£-809]* #,##0.00_-;_-[$£-809]* "-"??_-;_-@_-</c:formatCode>
                <c:ptCount val="10"/>
                <c:pt idx="0">
                  <c:v>6167.829999999999</c:v>
                </c:pt>
                <c:pt idx="1">
                  <c:v>6724.93</c:v>
                </c:pt>
                <c:pt idx="2">
                  <c:v>6963.94</c:v>
                </c:pt>
                <c:pt idx="3">
                  <c:v>4962</c:v>
                </c:pt>
                <c:pt idx="4">
                  <c:v>6550.71</c:v>
                </c:pt>
                <c:pt idx="5">
                  <c:v>7293.01</c:v>
                </c:pt>
                <c:pt idx="6">
                  <c:v>7281.38</c:v>
                </c:pt>
                <c:pt idx="7">
                  <c:v>6936.6699999999992</c:v>
                </c:pt>
                <c:pt idx="8">
                  <c:v>5864.2699999999986</c:v>
                </c:pt>
                <c:pt idx="9">
                  <c:v>7283.36</c:v>
                </c:pt>
              </c:numCache>
            </c:numRef>
          </c:val>
          <c:smooth val="0"/>
          <c:extLst>
            <c:ext xmlns:c16="http://schemas.microsoft.com/office/drawing/2014/chart" uri="{C3380CC4-5D6E-409C-BE32-E72D297353CC}">
              <c16:uniqueId val="{00000000-6453-41A4-A268-4814C5596411}"/>
            </c:ext>
          </c:extLst>
        </c:ser>
        <c:dLbls>
          <c:showLegendKey val="0"/>
          <c:showVal val="0"/>
          <c:showCatName val="0"/>
          <c:showSerName val="0"/>
          <c:showPercent val="0"/>
          <c:showBubbleSize val="0"/>
        </c:dLbls>
        <c:smooth val="0"/>
        <c:axId val="1195472271"/>
        <c:axId val="1195475151"/>
      </c:lineChart>
      <c:catAx>
        <c:axId val="1195472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195475151"/>
        <c:crosses val="autoZero"/>
        <c:auto val="1"/>
        <c:lblAlgn val="ctr"/>
        <c:lblOffset val="100"/>
        <c:noMultiLvlLbl val="0"/>
      </c:catAx>
      <c:valAx>
        <c:axId val="1195475151"/>
        <c:scaling>
          <c:orientation val="minMax"/>
          <c:min val="500"/>
        </c:scaling>
        <c:delete val="0"/>
        <c:axPos val="l"/>
        <c:numFmt formatCode="_-[$£-809]* #,##0_-;\-[$£-809]* #,##0_-;_-[$£-809]*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195472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[UK_Financial_Institutions_Fraud_Dataset.xlsx]Pivot table!PivotTable6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Fraud</a:t>
            </a:r>
            <a:r>
              <a:rPr lang="en-US" b="1" baseline="0">
                <a:solidFill>
                  <a:sysClr val="windowText" lastClr="000000"/>
                </a:solidFill>
              </a:rPr>
              <a:t> Loss Ratio per Bank Type </a:t>
            </a:r>
            <a:r>
              <a:rPr lang="en-US" b="1">
                <a:solidFill>
                  <a:sysClr val="windowText" lastClr="000000"/>
                </a:solidFill>
              </a:rPr>
              <a:t> </a:t>
            </a:r>
          </a:p>
        </c:rich>
      </c:tx>
      <c:overlay val="0"/>
      <c:spPr>
        <a:solidFill>
          <a:schemeClr val="accent3">
            <a:lumMod val="60000"/>
            <a:lumOff val="40000"/>
            <a:alpha val="80000"/>
          </a:schemeClr>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w="19050">
            <a:solidFill>
              <a:schemeClr val="lt1"/>
            </a:solidFill>
          </a:ln>
          <a:effectLst/>
        </c:spPr>
      </c:pivotFmt>
      <c:pivotFmt>
        <c:idx val="2"/>
        <c:spPr>
          <a:solidFill>
            <a:srgbClr val="92D050"/>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50"/>
          </a:solidFill>
          <a:ln w="19050">
            <a:solidFill>
              <a:schemeClr val="lt1"/>
            </a:solidFill>
          </a:ln>
          <a:effectLst/>
        </c:spPr>
      </c:pivotFmt>
      <c:pivotFmt>
        <c:idx val="5"/>
        <c:spPr>
          <a:solidFill>
            <a:srgbClr val="92D050"/>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50"/>
          </a:solidFill>
          <a:ln w="19050">
            <a:solidFill>
              <a:schemeClr val="lt1"/>
            </a:solidFill>
          </a:ln>
          <a:effectLst/>
        </c:spPr>
      </c:pivotFmt>
      <c:pivotFmt>
        <c:idx val="8"/>
        <c:spPr>
          <a:solidFill>
            <a:srgbClr val="92D050"/>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B050"/>
          </a:solidFill>
          <a:ln w="19050">
            <a:solidFill>
              <a:schemeClr val="lt1"/>
            </a:solidFill>
          </a:ln>
          <a:effectLst/>
        </c:spPr>
      </c:pivotFmt>
      <c:pivotFmt>
        <c:idx val="11"/>
        <c:spPr>
          <a:solidFill>
            <a:srgbClr val="92D050"/>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B050"/>
          </a:solidFill>
          <a:ln w="19050">
            <a:solidFill>
              <a:schemeClr val="lt1"/>
            </a:solidFill>
          </a:ln>
          <a:effectLst/>
        </c:spPr>
      </c:pivotFmt>
      <c:pivotFmt>
        <c:idx val="14"/>
        <c:spPr>
          <a:solidFill>
            <a:srgbClr val="92D050"/>
          </a:solidFill>
          <a:ln w="19050">
            <a:solidFill>
              <a:schemeClr val="lt1"/>
            </a:solidFill>
          </a:ln>
          <a:effectLst/>
        </c:spPr>
      </c:pivotFmt>
    </c:pivotFmts>
    <c:plotArea>
      <c:layout/>
      <c:pieChart>
        <c:varyColors val="1"/>
        <c:ser>
          <c:idx val="0"/>
          <c:order val="0"/>
          <c:tx>
            <c:strRef>
              <c:f>'Pivot table'!$B$83</c:f>
              <c:strCache>
                <c:ptCount val="1"/>
                <c:pt idx="0">
                  <c:v>Total</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D4A7-4262-AC6D-C49591DF4C84}"/>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D4A7-4262-AC6D-C49591DF4C84}"/>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table'!$A$84:$A$86</c:f>
              <c:strCache>
                <c:ptCount val="2"/>
                <c:pt idx="0">
                  <c:v>Traditional</c:v>
                </c:pt>
                <c:pt idx="1">
                  <c:v>Digital</c:v>
                </c:pt>
              </c:strCache>
            </c:strRef>
          </c:cat>
          <c:val>
            <c:numRef>
              <c:f>'Pivot table'!$B$84:$B$86</c:f>
              <c:numCache>
                <c:formatCode>0.00%</c:formatCode>
                <c:ptCount val="2"/>
                <c:pt idx="0">
                  <c:v>0.80872942191907649</c:v>
                </c:pt>
                <c:pt idx="1">
                  <c:v>0.19127057808092357</c:v>
                </c:pt>
              </c:numCache>
            </c:numRef>
          </c:val>
          <c:extLst>
            <c:ext xmlns:c16="http://schemas.microsoft.com/office/drawing/2014/chart" uri="{C3380CC4-5D6E-409C-BE32-E72D297353CC}">
              <c16:uniqueId val="{00000004-D4A7-4262-AC6D-C49591DF4C84}"/>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[UK_Financial_Institutions_Fraud_Dataset.xlsx]Pivot table!PivotTable7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Fraud</a:t>
            </a:r>
            <a:r>
              <a:rPr lang="en-US" b="1" baseline="0">
                <a:solidFill>
                  <a:sysClr val="windowText" lastClr="000000"/>
                </a:solidFill>
              </a:rPr>
              <a:t> Loss by Risk Rating</a:t>
            </a:r>
            <a:endParaRPr lang="en-US" b="1">
              <a:solidFill>
                <a:sysClr val="windowText" lastClr="000000"/>
              </a:solidFill>
            </a:endParaRPr>
          </a:p>
        </c:rich>
      </c:tx>
      <c:overlay val="0"/>
      <c:spPr>
        <a:solidFill>
          <a:schemeClr val="accent3">
            <a:lumMod val="60000"/>
            <a:lumOff val="40000"/>
            <a:alpha val="80000"/>
          </a:schemeClr>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table'!$B$89</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table'!$A$90:$A$93</c:f>
              <c:strCache>
                <c:ptCount val="3"/>
                <c:pt idx="0">
                  <c:v>High</c:v>
                </c:pt>
                <c:pt idx="1">
                  <c:v>Low</c:v>
                </c:pt>
                <c:pt idx="2">
                  <c:v>Medium</c:v>
                </c:pt>
              </c:strCache>
            </c:strRef>
          </c:cat>
          <c:val>
            <c:numRef>
              <c:f>'Pivot table'!$B$90:$B$93</c:f>
              <c:numCache>
                <c:formatCode>_-[$£-809]* #,##0.00_-;\-[$£-809]* #,##0.00_-;_-[$£-809]* "-"??_-;_-@_-</c:formatCode>
                <c:ptCount val="3"/>
                <c:pt idx="0">
                  <c:v>29249.429999999993</c:v>
                </c:pt>
                <c:pt idx="1">
                  <c:v>24492.129999999994</c:v>
                </c:pt>
                <c:pt idx="2">
                  <c:v>12286.54</c:v>
                </c:pt>
              </c:numCache>
            </c:numRef>
          </c:val>
          <c:extLst>
            <c:ext xmlns:c16="http://schemas.microsoft.com/office/drawing/2014/chart" uri="{C3380CC4-5D6E-409C-BE32-E72D297353CC}">
              <c16:uniqueId val="{00000000-345E-47ED-810B-7147C2A76353}"/>
            </c:ext>
          </c:extLst>
        </c:ser>
        <c:dLbls>
          <c:showLegendKey val="0"/>
          <c:showVal val="0"/>
          <c:showCatName val="0"/>
          <c:showSerName val="0"/>
          <c:showPercent val="0"/>
          <c:showBubbleSize val="0"/>
        </c:dLbls>
        <c:gapWidth val="219"/>
        <c:overlap val="-27"/>
        <c:axId val="1195471791"/>
        <c:axId val="1195464111"/>
      </c:barChart>
      <c:catAx>
        <c:axId val="1195471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195464111"/>
        <c:crosses val="autoZero"/>
        <c:auto val="1"/>
        <c:lblAlgn val="ctr"/>
        <c:lblOffset val="100"/>
        <c:noMultiLvlLbl val="0"/>
      </c:catAx>
      <c:valAx>
        <c:axId val="1195464111"/>
        <c:scaling>
          <c:orientation val="minMax"/>
        </c:scaling>
        <c:delete val="1"/>
        <c:axPos val="l"/>
        <c:numFmt formatCode="_-[$£-809]* #,##0.00_-;\-[$£-809]* #,##0.00_-;_-[$£-809]* &quot;-&quot;??_-;_-@_-" sourceLinked="1"/>
        <c:majorTickMark val="none"/>
        <c:minorTickMark val="none"/>
        <c:tickLblPos val="nextTo"/>
        <c:crossAx val="1195471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Suspicious Transaction VS Fraud Losses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'Power query'!$E$1</c:f>
              <c:strCache>
                <c:ptCount val="1"/>
                <c:pt idx="0">
                  <c:v>Suspicious</c:v>
                </c:pt>
              </c:strCache>
            </c:strRef>
          </c:tx>
          <c:spPr>
            <a:ln w="28575" cap="rnd">
              <a:noFill/>
              <a:round/>
            </a:ln>
            <a:effectLst/>
          </c:spPr>
          <c:marker>
            <c:symbol val="circle"/>
            <c:size val="5"/>
            <c:spPr>
              <a:solidFill>
                <a:schemeClr val="accent1"/>
              </a:solidFill>
              <a:ln w="9525">
                <a:solidFill>
                  <a:schemeClr val="accent1"/>
                </a:solidFill>
              </a:ln>
              <a:effectLst/>
            </c:spPr>
          </c:marker>
          <c:xVal>
            <c:numRef>
              <c:f>'Power query'!$D$2:$D$201</c:f>
              <c:numCache>
                <c:formatCode>_-[$£-809]* #,##0.00_-;\-[$£-809]* #,##0.00_-;_-[$£-809]* "-"??_-;_-@_-</c:formatCode>
                <c:ptCount val="200"/>
                <c:pt idx="0">
                  <c:v>535.85</c:v>
                </c:pt>
                <c:pt idx="1">
                  <c:v>272.27999999999997</c:v>
                </c:pt>
                <c:pt idx="2">
                  <c:v>364.22</c:v>
                </c:pt>
                <c:pt idx="3">
                  <c:v>32.270000000000003</c:v>
                </c:pt>
                <c:pt idx="4">
                  <c:v>562.30999999999995</c:v>
                </c:pt>
                <c:pt idx="5">
                  <c:v>466.72</c:v>
                </c:pt>
                <c:pt idx="6">
                  <c:v>549.16</c:v>
                </c:pt>
                <c:pt idx="7">
                  <c:v>598.53</c:v>
                </c:pt>
                <c:pt idx="8">
                  <c:v>319.82</c:v>
                </c:pt>
                <c:pt idx="9">
                  <c:v>458.37</c:v>
                </c:pt>
                <c:pt idx="10">
                  <c:v>361.37</c:v>
                </c:pt>
                <c:pt idx="11">
                  <c:v>457.56</c:v>
                </c:pt>
                <c:pt idx="12">
                  <c:v>124.68</c:v>
                </c:pt>
                <c:pt idx="13">
                  <c:v>9.2799999999999994</c:v>
                </c:pt>
                <c:pt idx="14">
                  <c:v>347.85</c:v>
                </c:pt>
                <c:pt idx="15">
                  <c:v>389.48</c:v>
                </c:pt>
                <c:pt idx="16">
                  <c:v>268.66000000000003</c:v>
                </c:pt>
                <c:pt idx="17">
                  <c:v>591.26</c:v>
                </c:pt>
                <c:pt idx="18">
                  <c:v>450.05</c:v>
                </c:pt>
                <c:pt idx="19">
                  <c:v>144.94999999999999</c:v>
                </c:pt>
                <c:pt idx="20">
                  <c:v>147.02000000000001</c:v>
                </c:pt>
                <c:pt idx="21">
                  <c:v>324.89</c:v>
                </c:pt>
                <c:pt idx="22">
                  <c:v>394.12</c:v>
                </c:pt>
                <c:pt idx="23">
                  <c:v>126.14</c:v>
                </c:pt>
                <c:pt idx="24">
                  <c:v>446.03</c:v>
                </c:pt>
                <c:pt idx="25">
                  <c:v>560.19000000000005</c:v>
                </c:pt>
                <c:pt idx="26">
                  <c:v>519.44000000000005</c:v>
                </c:pt>
                <c:pt idx="27">
                  <c:v>523.94000000000005</c:v>
                </c:pt>
                <c:pt idx="28">
                  <c:v>46.31</c:v>
                </c:pt>
                <c:pt idx="29">
                  <c:v>69.5</c:v>
                </c:pt>
                <c:pt idx="30">
                  <c:v>484.87</c:v>
                </c:pt>
                <c:pt idx="31">
                  <c:v>244.43</c:v>
                </c:pt>
                <c:pt idx="32">
                  <c:v>130.06</c:v>
                </c:pt>
                <c:pt idx="33">
                  <c:v>381.6</c:v>
                </c:pt>
                <c:pt idx="34">
                  <c:v>532.25</c:v>
                </c:pt>
                <c:pt idx="35">
                  <c:v>109.65</c:v>
                </c:pt>
                <c:pt idx="36">
                  <c:v>268.33</c:v>
                </c:pt>
                <c:pt idx="37">
                  <c:v>293.33999999999997</c:v>
                </c:pt>
                <c:pt idx="38">
                  <c:v>425.32</c:v>
                </c:pt>
                <c:pt idx="39">
                  <c:v>514.76</c:v>
                </c:pt>
                <c:pt idx="40">
                  <c:v>136.22</c:v>
                </c:pt>
                <c:pt idx="41">
                  <c:v>375.24</c:v>
                </c:pt>
                <c:pt idx="42">
                  <c:v>205.81</c:v>
                </c:pt>
                <c:pt idx="43">
                  <c:v>392.79</c:v>
                </c:pt>
                <c:pt idx="44">
                  <c:v>224.49</c:v>
                </c:pt>
                <c:pt idx="45">
                  <c:v>357.3</c:v>
                </c:pt>
                <c:pt idx="46">
                  <c:v>390.29</c:v>
                </c:pt>
                <c:pt idx="47">
                  <c:v>165.7</c:v>
                </c:pt>
                <c:pt idx="48">
                  <c:v>344.06</c:v>
                </c:pt>
                <c:pt idx="49">
                  <c:v>335.7</c:v>
                </c:pt>
                <c:pt idx="50">
                  <c:v>180.07</c:v>
                </c:pt>
                <c:pt idx="51">
                  <c:v>154.59</c:v>
                </c:pt>
                <c:pt idx="52">
                  <c:v>173.38</c:v>
                </c:pt>
                <c:pt idx="53">
                  <c:v>566.73</c:v>
                </c:pt>
                <c:pt idx="54">
                  <c:v>243.42</c:v>
                </c:pt>
                <c:pt idx="55">
                  <c:v>466.54</c:v>
                </c:pt>
                <c:pt idx="56">
                  <c:v>130.56</c:v>
                </c:pt>
                <c:pt idx="57">
                  <c:v>173.22</c:v>
                </c:pt>
                <c:pt idx="58">
                  <c:v>163.05000000000001</c:v>
                </c:pt>
                <c:pt idx="59">
                  <c:v>565.89</c:v>
                </c:pt>
                <c:pt idx="60">
                  <c:v>517.01</c:v>
                </c:pt>
                <c:pt idx="61">
                  <c:v>581.59</c:v>
                </c:pt>
                <c:pt idx="62">
                  <c:v>457.5</c:v>
                </c:pt>
                <c:pt idx="63">
                  <c:v>279.88</c:v>
                </c:pt>
                <c:pt idx="64">
                  <c:v>420.46</c:v>
                </c:pt>
                <c:pt idx="65">
                  <c:v>74.89</c:v>
                </c:pt>
                <c:pt idx="66">
                  <c:v>553.51</c:v>
                </c:pt>
                <c:pt idx="67">
                  <c:v>599.35</c:v>
                </c:pt>
                <c:pt idx="68">
                  <c:v>345.22</c:v>
                </c:pt>
                <c:pt idx="69">
                  <c:v>579.07000000000005</c:v>
                </c:pt>
                <c:pt idx="70">
                  <c:v>470.01</c:v>
                </c:pt>
                <c:pt idx="71">
                  <c:v>524.07000000000005</c:v>
                </c:pt>
                <c:pt idx="72">
                  <c:v>183.18</c:v>
                </c:pt>
                <c:pt idx="73">
                  <c:v>51.99</c:v>
                </c:pt>
                <c:pt idx="74">
                  <c:v>330.23</c:v>
                </c:pt>
                <c:pt idx="75">
                  <c:v>345.29</c:v>
                </c:pt>
                <c:pt idx="76">
                  <c:v>542.97</c:v>
                </c:pt>
                <c:pt idx="77">
                  <c:v>62.81</c:v>
                </c:pt>
                <c:pt idx="78">
                  <c:v>325.95</c:v>
                </c:pt>
                <c:pt idx="79">
                  <c:v>516.78</c:v>
                </c:pt>
                <c:pt idx="80">
                  <c:v>564.47</c:v>
                </c:pt>
                <c:pt idx="81">
                  <c:v>391.3</c:v>
                </c:pt>
                <c:pt idx="82">
                  <c:v>419.41</c:v>
                </c:pt>
                <c:pt idx="83">
                  <c:v>268.81</c:v>
                </c:pt>
                <c:pt idx="84">
                  <c:v>399.35</c:v>
                </c:pt>
                <c:pt idx="85">
                  <c:v>465.75</c:v>
                </c:pt>
                <c:pt idx="86">
                  <c:v>355.37</c:v>
                </c:pt>
                <c:pt idx="87">
                  <c:v>273.94</c:v>
                </c:pt>
                <c:pt idx="88">
                  <c:v>546.27</c:v>
                </c:pt>
                <c:pt idx="89">
                  <c:v>274.95999999999998</c:v>
                </c:pt>
                <c:pt idx="90">
                  <c:v>439.12</c:v>
                </c:pt>
                <c:pt idx="91">
                  <c:v>226.72</c:v>
                </c:pt>
                <c:pt idx="92">
                  <c:v>362.24</c:v>
                </c:pt>
                <c:pt idx="93">
                  <c:v>139.56</c:v>
                </c:pt>
                <c:pt idx="94">
                  <c:v>396.12</c:v>
                </c:pt>
                <c:pt idx="95">
                  <c:v>565.14</c:v>
                </c:pt>
                <c:pt idx="96">
                  <c:v>454.19</c:v>
                </c:pt>
                <c:pt idx="97">
                  <c:v>9.57</c:v>
                </c:pt>
                <c:pt idx="98">
                  <c:v>337.44</c:v>
                </c:pt>
                <c:pt idx="99">
                  <c:v>177.26</c:v>
                </c:pt>
                <c:pt idx="100">
                  <c:v>316.76</c:v>
                </c:pt>
                <c:pt idx="101">
                  <c:v>575.14</c:v>
                </c:pt>
                <c:pt idx="102">
                  <c:v>281.05</c:v>
                </c:pt>
                <c:pt idx="103">
                  <c:v>189.69</c:v>
                </c:pt>
                <c:pt idx="104">
                  <c:v>572.77</c:v>
                </c:pt>
                <c:pt idx="105">
                  <c:v>430.02</c:v>
                </c:pt>
                <c:pt idx="106">
                  <c:v>408.94</c:v>
                </c:pt>
                <c:pt idx="107">
                  <c:v>203.35</c:v>
                </c:pt>
                <c:pt idx="108">
                  <c:v>423.18</c:v>
                </c:pt>
                <c:pt idx="109">
                  <c:v>599.99</c:v>
                </c:pt>
                <c:pt idx="110">
                  <c:v>229.15</c:v>
                </c:pt>
                <c:pt idx="111">
                  <c:v>272.11</c:v>
                </c:pt>
                <c:pt idx="112">
                  <c:v>254.1</c:v>
                </c:pt>
                <c:pt idx="113">
                  <c:v>174.61</c:v>
                </c:pt>
                <c:pt idx="114">
                  <c:v>303.69</c:v>
                </c:pt>
                <c:pt idx="115">
                  <c:v>550.85</c:v>
                </c:pt>
                <c:pt idx="116">
                  <c:v>319.02</c:v>
                </c:pt>
                <c:pt idx="117">
                  <c:v>323.95</c:v>
                </c:pt>
                <c:pt idx="118">
                  <c:v>219.56</c:v>
                </c:pt>
                <c:pt idx="119">
                  <c:v>395.98</c:v>
                </c:pt>
                <c:pt idx="120">
                  <c:v>113.46</c:v>
                </c:pt>
                <c:pt idx="121">
                  <c:v>490.17</c:v>
                </c:pt>
                <c:pt idx="122">
                  <c:v>243.01</c:v>
                </c:pt>
                <c:pt idx="123">
                  <c:v>363.46</c:v>
                </c:pt>
                <c:pt idx="124">
                  <c:v>30.2</c:v>
                </c:pt>
                <c:pt idx="125">
                  <c:v>366.51</c:v>
                </c:pt>
                <c:pt idx="126">
                  <c:v>226.35</c:v>
                </c:pt>
                <c:pt idx="127">
                  <c:v>339.2</c:v>
                </c:pt>
                <c:pt idx="128">
                  <c:v>539.71</c:v>
                </c:pt>
                <c:pt idx="129">
                  <c:v>384.43</c:v>
                </c:pt>
                <c:pt idx="130">
                  <c:v>369.11</c:v>
                </c:pt>
                <c:pt idx="131">
                  <c:v>282.17</c:v>
                </c:pt>
                <c:pt idx="132">
                  <c:v>561.16999999999996</c:v>
                </c:pt>
                <c:pt idx="133">
                  <c:v>386.39</c:v>
                </c:pt>
                <c:pt idx="134">
                  <c:v>461.34</c:v>
                </c:pt>
                <c:pt idx="135">
                  <c:v>252.29</c:v>
                </c:pt>
                <c:pt idx="136">
                  <c:v>68.180000000000007</c:v>
                </c:pt>
                <c:pt idx="137">
                  <c:v>541.87</c:v>
                </c:pt>
                <c:pt idx="138">
                  <c:v>148.22999999999999</c:v>
                </c:pt>
                <c:pt idx="139">
                  <c:v>530.05999999999995</c:v>
                </c:pt>
                <c:pt idx="140">
                  <c:v>171.43</c:v>
                </c:pt>
                <c:pt idx="141">
                  <c:v>28.15</c:v>
                </c:pt>
                <c:pt idx="142">
                  <c:v>506.35</c:v>
                </c:pt>
                <c:pt idx="143">
                  <c:v>414.39</c:v>
                </c:pt>
                <c:pt idx="144">
                  <c:v>149.11000000000001</c:v>
                </c:pt>
                <c:pt idx="145">
                  <c:v>442.82</c:v>
                </c:pt>
                <c:pt idx="146">
                  <c:v>330.03</c:v>
                </c:pt>
                <c:pt idx="147">
                  <c:v>295.95999999999998</c:v>
                </c:pt>
                <c:pt idx="148">
                  <c:v>92.15</c:v>
                </c:pt>
                <c:pt idx="149">
                  <c:v>166.61</c:v>
                </c:pt>
                <c:pt idx="150">
                  <c:v>8.08</c:v>
                </c:pt>
                <c:pt idx="151">
                  <c:v>346.61</c:v>
                </c:pt>
                <c:pt idx="152">
                  <c:v>526.66</c:v>
                </c:pt>
                <c:pt idx="153">
                  <c:v>167.34</c:v>
                </c:pt>
                <c:pt idx="154">
                  <c:v>514.41</c:v>
                </c:pt>
                <c:pt idx="155">
                  <c:v>145.13999999999999</c:v>
                </c:pt>
                <c:pt idx="156">
                  <c:v>554.25</c:v>
                </c:pt>
                <c:pt idx="157">
                  <c:v>422.65</c:v>
                </c:pt>
                <c:pt idx="158">
                  <c:v>125.28</c:v>
                </c:pt>
                <c:pt idx="159">
                  <c:v>274.79000000000002</c:v>
                </c:pt>
                <c:pt idx="160">
                  <c:v>48.45</c:v>
                </c:pt>
                <c:pt idx="161">
                  <c:v>460.67</c:v>
                </c:pt>
                <c:pt idx="162">
                  <c:v>595.74</c:v>
                </c:pt>
                <c:pt idx="163">
                  <c:v>97.3</c:v>
                </c:pt>
                <c:pt idx="164">
                  <c:v>150.62</c:v>
                </c:pt>
                <c:pt idx="165">
                  <c:v>347.79</c:v>
                </c:pt>
                <c:pt idx="166">
                  <c:v>408.86</c:v>
                </c:pt>
                <c:pt idx="167">
                  <c:v>139.08000000000001</c:v>
                </c:pt>
                <c:pt idx="168">
                  <c:v>225.79</c:v>
                </c:pt>
                <c:pt idx="169">
                  <c:v>134.12</c:v>
                </c:pt>
                <c:pt idx="170">
                  <c:v>126.69</c:v>
                </c:pt>
                <c:pt idx="171">
                  <c:v>434.84</c:v>
                </c:pt>
                <c:pt idx="172">
                  <c:v>253.46</c:v>
                </c:pt>
                <c:pt idx="173">
                  <c:v>580.07000000000005</c:v>
                </c:pt>
                <c:pt idx="174">
                  <c:v>25.13</c:v>
                </c:pt>
                <c:pt idx="175">
                  <c:v>401.72</c:v>
                </c:pt>
                <c:pt idx="176">
                  <c:v>420.23</c:v>
                </c:pt>
                <c:pt idx="177">
                  <c:v>575.78</c:v>
                </c:pt>
                <c:pt idx="178">
                  <c:v>229.42</c:v>
                </c:pt>
                <c:pt idx="179">
                  <c:v>319.25</c:v>
                </c:pt>
                <c:pt idx="180">
                  <c:v>511</c:v>
                </c:pt>
                <c:pt idx="181">
                  <c:v>233.39</c:v>
                </c:pt>
                <c:pt idx="182">
                  <c:v>465.27</c:v>
                </c:pt>
                <c:pt idx="183">
                  <c:v>180.75</c:v>
                </c:pt>
                <c:pt idx="184">
                  <c:v>188.42</c:v>
                </c:pt>
                <c:pt idx="185">
                  <c:v>360.17</c:v>
                </c:pt>
                <c:pt idx="186">
                  <c:v>412.76</c:v>
                </c:pt>
                <c:pt idx="187">
                  <c:v>566.80999999999995</c:v>
                </c:pt>
                <c:pt idx="188">
                  <c:v>261.22000000000003</c:v>
                </c:pt>
                <c:pt idx="189">
                  <c:v>470.27</c:v>
                </c:pt>
                <c:pt idx="190">
                  <c:v>437.69</c:v>
                </c:pt>
                <c:pt idx="191">
                  <c:v>49.01</c:v>
                </c:pt>
                <c:pt idx="192">
                  <c:v>462.53</c:v>
                </c:pt>
                <c:pt idx="193">
                  <c:v>158.94999999999999</c:v>
                </c:pt>
                <c:pt idx="194">
                  <c:v>252.51</c:v>
                </c:pt>
                <c:pt idx="195">
                  <c:v>194.75</c:v>
                </c:pt>
                <c:pt idx="196">
                  <c:v>100.28</c:v>
                </c:pt>
                <c:pt idx="197">
                  <c:v>236.36</c:v>
                </c:pt>
                <c:pt idx="198">
                  <c:v>296.24</c:v>
                </c:pt>
                <c:pt idx="199">
                  <c:v>370.62</c:v>
                </c:pt>
              </c:numCache>
            </c:numRef>
          </c:xVal>
          <c:yVal>
            <c:numRef>
              <c:f>'Power query'!$E$2:$E$201</c:f>
              <c:numCache>
                <c:formatCode>General</c:formatCode>
                <c:ptCount val="200"/>
                <c:pt idx="0">
                  <c:v>1524</c:v>
                </c:pt>
                <c:pt idx="1">
                  <c:v>0</c:v>
                </c:pt>
                <c:pt idx="2">
                  <c:v>811</c:v>
                </c:pt>
                <c:pt idx="3">
                  <c:v>3833</c:v>
                </c:pt>
                <c:pt idx="4">
                  <c:v>0</c:v>
                </c:pt>
                <c:pt idx="5">
                  <c:v>0</c:v>
                </c:pt>
                <c:pt idx="6">
                  <c:v>0</c:v>
                </c:pt>
                <c:pt idx="7">
                  <c:v>8448</c:v>
                </c:pt>
                <c:pt idx="8">
                  <c:v>0</c:v>
                </c:pt>
                <c:pt idx="9">
                  <c:v>0</c:v>
                </c:pt>
                <c:pt idx="10">
                  <c:v>0</c:v>
                </c:pt>
                <c:pt idx="11">
                  <c:v>0</c:v>
                </c:pt>
                <c:pt idx="12">
                  <c:v>5207</c:v>
                </c:pt>
                <c:pt idx="13">
                  <c:v>0</c:v>
                </c:pt>
                <c:pt idx="14">
                  <c:v>4081</c:v>
                </c:pt>
                <c:pt idx="15">
                  <c:v>1093</c:v>
                </c:pt>
                <c:pt idx="16">
                  <c:v>0</c:v>
                </c:pt>
                <c:pt idx="17">
                  <c:v>4445</c:v>
                </c:pt>
                <c:pt idx="18">
                  <c:v>0</c:v>
                </c:pt>
                <c:pt idx="19">
                  <c:v>0</c:v>
                </c:pt>
                <c:pt idx="20">
                  <c:v>0</c:v>
                </c:pt>
                <c:pt idx="21">
                  <c:v>8388</c:v>
                </c:pt>
                <c:pt idx="22">
                  <c:v>228</c:v>
                </c:pt>
                <c:pt idx="23">
                  <c:v>4425</c:v>
                </c:pt>
                <c:pt idx="24">
                  <c:v>0</c:v>
                </c:pt>
                <c:pt idx="25">
                  <c:v>753</c:v>
                </c:pt>
                <c:pt idx="26">
                  <c:v>3000</c:v>
                </c:pt>
                <c:pt idx="27">
                  <c:v>0</c:v>
                </c:pt>
                <c:pt idx="28">
                  <c:v>4673</c:v>
                </c:pt>
                <c:pt idx="29">
                  <c:v>7219</c:v>
                </c:pt>
                <c:pt idx="30">
                  <c:v>3328</c:v>
                </c:pt>
                <c:pt idx="31">
                  <c:v>0</c:v>
                </c:pt>
                <c:pt idx="32">
                  <c:v>5379</c:v>
                </c:pt>
                <c:pt idx="33">
                  <c:v>0</c:v>
                </c:pt>
                <c:pt idx="34">
                  <c:v>3285</c:v>
                </c:pt>
                <c:pt idx="35">
                  <c:v>8586</c:v>
                </c:pt>
                <c:pt idx="36">
                  <c:v>8370</c:v>
                </c:pt>
                <c:pt idx="37">
                  <c:v>4019</c:v>
                </c:pt>
                <c:pt idx="38">
                  <c:v>1152</c:v>
                </c:pt>
                <c:pt idx="39">
                  <c:v>6332</c:v>
                </c:pt>
                <c:pt idx="40">
                  <c:v>3695</c:v>
                </c:pt>
                <c:pt idx="41">
                  <c:v>541</c:v>
                </c:pt>
                <c:pt idx="42">
                  <c:v>6311</c:v>
                </c:pt>
                <c:pt idx="43">
                  <c:v>0</c:v>
                </c:pt>
                <c:pt idx="44">
                  <c:v>0</c:v>
                </c:pt>
                <c:pt idx="45">
                  <c:v>0</c:v>
                </c:pt>
                <c:pt idx="46">
                  <c:v>307</c:v>
                </c:pt>
                <c:pt idx="47">
                  <c:v>8917</c:v>
                </c:pt>
                <c:pt idx="48">
                  <c:v>6309</c:v>
                </c:pt>
                <c:pt idx="49">
                  <c:v>0</c:v>
                </c:pt>
                <c:pt idx="50">
                  <c:v>0</c:v>
                </c:pt>
                <c:pt idx="51">
                  <c:v>0</c:v>
                </c:pt>
                <c:pt idx="52">
                  <c:v>0</c:v>
                </c:pt>
                <c:pt idx="53">
                  <c:v>0</c:v>
                </c:pt>
                <c:pt idx="54">
                  <c:v>0</c:v>
                </c:pt>
                <c:pt idx="55">
                  <c:v>6332</c:v>
                </c:pt>
                <c:pt idx="56">
                  <c:v>0</c:v>
                </c:pt>
                <c:pt idx="57">
                  <c:v>0</c:v>
                </c:pt>
                <c:pt idx="58">
                  <c:v>0</c:v>
                </c:pt>
                <c:pt idx="59">
                  <c:v>8299</c:v>
                </c:pt>
                <c:pt idx="60">
                  <c:v>439</c:v>
                </c:pt>
                <c:pt idx="61">
                  <c:v>7800</c:v>
                </c:pt>
                <c:pt idx="62">
                  <c:v>701</c:v>
                </c:pt>
                <c:pt idx="63">
                  <c:v>0</c:v>
                </c:pt>
                <c:pt idx="64">
                  <c:v>0</c:v>
                </c:pt>
                <c:pt idx="65">
                  <c:v>2622</c:v>
                </c:pt>
                <c:pt idx="66">
                  <c:v>0</c:v>
                </c:pt>
                <c:pt idx="67">
                  <c:v>0</c:v>
                </c:pt>
                <c:pt idx="68">
                  <c:v>3926</c:v>
                </c:pt>
                <c:pt idx="69">
                  <c:v>2168</c:v>
                </c:pt>
                <c:pt idx="70">
                  <c:v>4442</c:v>
                </c:pt>
                <c:pt idx="71">
                  <c:v>0</c:v>
                </c:pt>
                <c:pt idx="72">
                  <c:v>0</c:v>
                </c:pt>
                <c:pt idx="73">
                  <c:v>0</c:v>
                </c:pt>
                <c:pt idx="74">
                  <c:v>1310</c:v>
                </c:pt>
                <c:pt idx="75">
                  <c:v>4947</c:v>
                </c:pt>
                <c:pt idx="76">
                  <c:v>0</c:v>
                </c:pt>
                <c:pt idx="77">
                  <c:v>745</c:v>
                </c:pt>
                <c:pt idx="78">
                  <c:v>6094</c:v>
                </c:pt>
                <c:pt idx="79">
                  <c:v>6611</c:v>
                </c:pt>
                <c:pt idx="80">
                  <c:v>0</c:v>
                </c:pt>
                <c:pt idx="81">
                  <c:v>0</c:v>
                </c:pt>
                <c:pt idx="82">
                  <c:v>8950</c:v>
                </c:pt>
                <c:pt idx="83">
                  <c:v>3968</c:v>
                </c:pt>
                <c:pt idx="84">
                  <c:v>0</c:v>
                </c:pt>
                <c:pt idx="85">
                  <c:v>146</c:v>
                </c:pt>
                <c:pt idx="86">
                  <c:v>0</c:v>
                </c:pt>
                <c:pt idx="87">
                  <c:v>0</c:v>
                </c:pt>
                <c:pt idx="88">
                  <c:v>0</c:v>
                </c:pt>
                <c:pt idx="89">
                  <c:v>0</c:v>
                </c:pt>
                <c:pt idx="90">
                  <c:v>5220</c:v>
                </c:pt>
                <c:pt idx="91">
                  <c:v>0</c:v>
                </c:pt>
                <c:pt idx="92">
                  <c:v>0</c:v>
                </c:pt>
                <c:pt idx="93">
                  <c:v>0</c:v>
                </c:pt>
                <c:pt idx="94">
                  <c:v>0</c:v>
                </c:pt>
                <c:pt idx="95">
                  <c:v>0</c:v>
                </c:pt>
                <c:pt idx="96">
                  <c:v>1964</c:v>
                </c:pt>
                <c:pt idx="97">
                  <c:v>0</c:v>
                </c:pt>
                <c:pt idx="98">
                  <c:v>0</c:v>
                </c:pt>
                <c:pt idx="99">
                  <c:v>0</c:v>
                </c:pt>
                <c:pt idx="100">
                  <c:v>6584</c:v>
                </c:pt>
                <c:pt idx="101">
                  <c:v>0</c:v>
                </c:pt>
                <c:pt idx="102">
                  <c:v>7454</c:v>
                </c:pt>
                <c:pt idx="103">
                  <c:v>0</c:v>
                </c:pt>
                <c:pt idx="104">
                  <c:v>772</c:v>
                </c:pt>
                <c:pt idx="105">
                  <c:v>0</c:v>
                </c:pt>
                <c:pt idx="106">
                  <c:v>957</c:v>
                </c:pt>
                <c:pt idx="107">
                  <c:v>2417</c:v>
                </c:pt>
                <c:pt idx="108">
                  <c:v>0</c:v>
                </c:pt>
                <c:pt idx="109">
                  <c:v>0</c:v>
                </c:pt>
                <c:pt idx="110">
                  <c:v>0</c:v>
                </c:pt>
                <c:pt idx="111">
                  <c:v>0</c:v>
                </c:pt>
                <c:pt idx="112">
                  <c:v>0</c:v>
                </c:pt>
                <c:pt idx="113">
                  <c:v>2726</c:v>
                </c:pt>
                <c:pt idx="114">
                  <c:v>3962</c:v>
                </c:pt>
                <c:pt idx="115">
                  <c:v>0</c:v>
                </c:pt>
                <c:pt idx="116">
                  <c:v>1921</c:v>
                </c:pt>
                <c:pt idx="117">
                  <c:v>0</c:v>
                </c:pt>
                <c:pt idx="118">
                  <c:v>0</c:v>
                </c:pt>
                <c:pt idx="119">
                  <c:v>1798</c:v>
                </c:pt>
                <c:pt idx="120">
                  <c:v>0</c:v>
                </c:pt>
                <c:pt idx="121">
                  <c:v>7856</c:v>
                </c:pt>
                <c:pt idx="122">
                  <c:v>7304</c:v>
                </c:pt>
                <c:pt idx="123">
                  <c:v>3056</c:v>
                </c:pt>
                <c:pt idx="124">
                  <c:v>5876</c:v>
                </c:pt>
                <c:pt idx="125">
                  <c:v>0</c:v>
                </c:pt>
                <c:pt idx="126">
                  <c:v>0</c:v>
                </c:pt>
                <c:pt idx="127">
                  <c:v>4388</c:v>
                </c:pt>
                <c:pt idx="128">
                  <c:v>0</c:v>
                </c:pt>
                <c:pt idx="129">
                  <c:v>0</c:v>
                </c:pt>
                <c:pt idx="130">
                  <c:v>0</c:v>
                </c:pt>
                <c:pt idx="131">
                  <c:v>8576</c:v>
                </c:pt>
                <c:pt idx="132">
                  <c:v>3794</c:v>
                </c:pt>
                <c:pt idx="133">
                  <c:v>0</c:v>
                </c:pt>
                <c:pt idx="134">
                  <c:v>0</c:v>
                </c:pt>
                <c:pt idx="135">
                  <c:v>0</c:v>
                </c:pt>
                <c:pt idx="136">
                  <c:v>4060</c:v>
                </c:pt>
                <c:pt idx="137">
                  <c:v>5464</c:v>
                </c:pt>
                <c:pt idx="138">
                  <c:v>0</c:v>
                </c:pt>
                <c:pt idx="139">
                  <c:v>6092</c:v>
                </c:pt>
                <c:pt idx="140">
                  <c:v>0</c:v>
                </c:pt>
                <c:pt idx="141">
                  <c:v>5556</c:v>
                </c:pt>
                <c:pt idx="142">
                  <c:v>5611</c:v>
                </c:pt>
                <c:pt idx="143">
                  <c:v>536</c:v>
                </c:pt>
                <c:pt idx="144">
                  <c:v>0</c:v>
                </c:pt>
                <c:pt idx="145">
                  <c:v>0</c:v>
                </c:pt>
                <c:pt idx="146">
                  <c:v>4431</c:v>
                </c:pt>
                <c:pt idx="147">
                  <c:v>7961</c:v>
                </c:pt>
                <c:pt idx="148">
                  <c:v>789</c:v>
                </c:pt>
                <c:pt idx="149">
                  <c:v>0</c:v>
                </c:pt>
                <c:pt idx="150">
                  <c:v>2687</c:v>
                </c:pt>
                <c:pt idx="151">
                  <c:v>0</c:v>
                </c:pt>
                <c:pt idx="152">
                  <c:v>251</c:v>
                </c:pt>
                <c:pt idx="153">
                  <c:v>1945</c:v>
                </c:pt>
                <c:pt idx="154">
                  <c:v>6743</c:v>
                </c:pt>
                <c:pt idx="155">
                  <c:v>4474</c:v>
                </c:pt>
                <c:pt idx="156">
                  <c:v>0</c:v>
                </c:pt>
                <c:pt idx="157">
                  <c:v>0</c:v>
                </c:pt>
                <c:pt idx="158">
                  <c:v>0</c:v>
                </c:pt>
                <c:pt idx="159">
                  <c:v>8509</c:v>
                </c:pt>
                <c:pt idx="160">
                  <c:v>7041</c:v>
                </c:pt>
                <c:pt idx="161">
                  <c:v>6987</c:v>
                </c:pt>
                <c:pt idx="162">
                  <c:v>0</c:v>
                </c:pt>
                <c:pt idx="163">
                  <c:v>0</c:v>
                </c:pt>
                <c:pt idx="164">
                  <c:v>824</c:v>
                </c:pt>
                <c:pt idx="165">
                  <c:v>0</c:v>
                </c:pt>
                <c:pt idx="166">
                  <c:v>0</c:v>
                </c:pt>
                <c:pt idx="167">
                  <c:v>2465</c:v>
                </c:pt>
                <c:pt idx="168">
                  <c:v>0</c:v>
                </c:pt>
                <c:pt idx="169">
                  <c:v>3522</c:v>
                </c:pt>
                <c:pt idx="170">
                  <c:v>4021</c:v>
                </c:pt>
                <c:pt idx="171">
                  <c:v>0</c:v>
                </c:pt>
                <c:pt idx="172">
                  <c:v>0</c:v>
                </c:pt>
                <c:pt idx="173">
                  <c:v>8137</c:v>
                </c:pt>
                <c:pt idx="174">
                  <c:v>0</c:v>
                </c:pt>
                <c:pt idx="175">
                  <c:v>8016</c:v>
                </c:pt>
                <c:pt idx="176">
                  <c:v>0</c:v>
                </c:pt>
                <c:pt idx="177">
                  <c:v>0</c:v>
                </c:pt>
                <c:pt idx="178">
                  <c:v>0</c:v>
                </c:pt>
                <c:pt idx="179">
                  <c:v>0</c:v>
                </c:pt>
                <c:pt idx="180">
                  <c:v>0</c:v>
                </c:pt>
                <c:pt idx="181">
                  <c:v>0</c:v>
                </c:pt>
                <c:pt idx="182">
                  <c:v>585</c:v>
                </c:pt>
                <c:pt idx="183">
                  <c:v>0</c:v>
                </c:pt>
                <c:pt idx="184">
                  <c:v>5996</c:v>
                </c:pt>
                <c:pt idx="185">
                  <c:v>5415</c:v>
                </c:pt>
                <c:pt idx="186">
                  <c:v>0</c:v>
                </c:pt>
                <c:pt idx="187">
                  <c:v>0</c:v>
                </c:pt>
                <c:pt idx="188">
                  <c:v>2330</c:v>
                </c:pt>
                <c:pt idx="189">
                  <c:v>5439</c:v>
                </c:pt>
                <c:pt idx="190">
                  <c:v>3534</c:v>
                </c:pt>
                <c:pt idx="191">
                  <c:v>7951</c:v>
                </c:pt>
                <c:pt idx="192">
                  <c:v>0</c:v>
                </c:pt>
                <c:pt idx="193">
                  <c:v>0</c:v>
                </c:pt>
                <c:pt idx="194">
                  <c:v>0</c:v>
                </c:pt>
                <c:pt idx="195">
                  <c:v>0</c:v>
                </c:pt>
                <c:pt idx="196">
                  <c:v>7085</c:v>
                </c:pt>
                <c:pt idx="197">
                  <c:v>0</c:v>
                </c:pt>
                <c:pt idx="198">
                  <c:v>5234</c:v>
                </c:pt>
                <c:pt idx="199">
                  <c:v>0</c:v>
                </c:pt>
              </c:numCache>
            </c:numRef>
          </c:yVal>
          <c:smooth val="0"/>
          <c:extLst>
            <c:ext xmlns:c16="http://schemas.microsoft.com/office/drawing/2014/chart" uri="{C3380CC4-5D6E-409C-BE32-E72D297353CC}">
              <c16:uniqueId val="{00000000-CE84-4921-9A45-1EB8BD6A2640}"/>
            </c:ext>
          </c:extLst>
        </c:ser>
        <c:dLbls>
          <c:showLegendKey val="0"/>
          <c:showVal val="0"/>
          <c:showCatName val="0"/>
          <c:showSerName val="0"/>
          <c:showPercent val="0"/>
          <c:showBubbleSize val="0"/>
        </c:dLbls>
        <c:axId val="1220479055"/>
        <c:axId val="1220480495"/>
      </c:scatterChart>
      <c:valAx>
        <c:axId val="1220479055"/>
        <c:scaling>
          <c:orientation val="minMax"/>
        </c:scaling>
        <c:delete val="0"/>
        <c:axPos val="b"/>
        <c:majorGridlines>
          <c:spPr>
            <a:ln w="9525" cap="flat" cmpd="sng" algn="ctr">
              <a:solidFill>
                <a:schemeClr val="tx1">
                  <a:lumMod val="15000"/>
                  <a:lumOff val="85000"/>
                </a:schemeClr>
              </a:solidFill>
              <a:round/>
            </a:ln>
            <a:effectLst/>
          </c:spPr>
        </c:majorGridlines>
        <c:numFmt formatCode="_-[$£-809]* #,##0.00_-;\-[$£-809]* #,##0.00_-;_-[$£-809]*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480495"/>
        <c:crosses val="autoZero"/>
        <c:crossBetween val="midCat"/>
      </c:valAx>
      <c:valAx>
        <c:axId val="1220480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4790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4"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2</xdr:col>
      <xdr:colOff>22860</xdr:colOff>
      <xdr:row>1</xdr:row>
      <xdr:rowOff>179070</xdr:rowOff>
    </xdr:from>
    <xdr:to>
      <xdr:col>8</xdr:col>
      <xdr:colOff>76200</xdr:colOff>
      <xdr:row>16</xdr:row>
      <xdr:rowOff>179070</xdr:rowOff>
    </xdr:to>
    <xdr:graphicFrame macro="">
      <xdr:nvGraphicFramePr>
        <xdr:cNvPr id="2" name="Chart 1">
          <a:extLst>
            <a:ext uri="{FF2B5EF4-FFF2-40B4-BE49-F238E27FC236}">
              <a16:creationId xmlns:a16="http://schemas.microsoft.com/office/drawing/2014/main" id="{EB068D54-6522-D019-A0BE-0FECC44E71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83820</xdr:colOff>
      <xdr:row>23</xdr:row>
      <xdr:rowOff>19050</xdr:rowOff>
    </xdr:from>
    <xdr:to>
      <xdr:col>8</xdr:col>
      <xdr:colOff>137160</xdr:colOff>
      <xdr:row>38</xdr:row>
      <xdr:rowOff>19050</xdr:rowOff>
    </xdr:to>
    <xdr:graphicFrame macro="">
      <xdr:nvGraphicFramePr>
        <xdr:cNvPr id="3" name="Chart 2">
          <a:extLst>
            <a:ext uri="{FF2B5EF4-FFF2-40B4-BE49-F238E27FC236}">
              <a16:creationId xmlns:a16="http://schemas.microsoft.com/office/drawing/2014/main" id="{83DA2635-7982-8EA9-A63E-F90B7BD065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998220</xdr:colOff>
      <xdr:row>45</xdr:row>
      <xdr:rowOff>140970</xdr:rowOff>
    </xdr:from>
    <xdr:to>
      <xdr:col>9</xdr:col>
      <xdr:colOff>441960</xdr:colOff>
      <xdr:row>60</xdr:row>
      <xdr:rowOff>140970</xdr:rowOff>
    </xdr:to>
    <xdr:graphicFrame macro="">
      <xdr:nvGraphicFramePr>
        <xdr:cNvPr id="4" name="Chart 3">
          <a:extLst>
            <a:ext uri="{FF2B5EF4-FFF2-40B4-BE49-F238E27FC236}">
              <a16:creationId xmlns:a16="http://schemas.microsoft.com/office/drawing/2014/main" id="{94DA7CC6-FBBF-80F4-018F-A37E7B5A36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38100</xdr:colOff>
      <xdr:row>84</xdr:row>
      <xdr:rowOff>3810</xdr:rowOff>
    </xdr:from>
    <xdr:to>
      <xdr:col>10</xdr:col>
      <xdr:colOff>342900</xdr:colOff>
      <xdr:row>99</xdr:row>
      <xdr:rowOff>3810</xdr:rowOff>
    </xdr:to>
    <xdr:graphicFrame macro="">
      <xdr:nvGraphicFramePr>
        <xdr:cNvPr id="5" name="Chart 4">
          <a:extLst>
            <a:ext uri="{FF2B5EF4-FFF2-40B4-BE49-F238E27FC236}">
              <a16:creationId xmlns:a16="http://schemas.microsoft.com/office/drawing/2014/main" id="{E28FD1D9-ED73-38F3-1259-48AEAF0B1C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30480</xdr:colOff>
      <xdr:row>67</xdr:row>
      <xdr:rowOff>148590</xdr:rowOff>
    </xdr:from>
    <xdr:to>
      <xdr:col>8</xdr:col>
      <xdr:colOff>83820</xdr:colOff>
      <xdr:row>82</xdr:row>
      <xdr:rowOff>148590</xdr:rowOff>
    </xdr:to>
    <xdr:graphicFrame macro="">
      <xdr:nvGraphicFramePr>
        <xdr:cNvPr id="6" name="Chart 5">
          <a:extLst>
            <a:ext uri="{FF2B5EF4-FFF2-40B4-BE49-F238E27FC236}">
              <a16:creationId xmlns:a16="http://schemas.microsoft.com/office/drawing/2014/main" id="{A29D3B31-27A1-43BD-6812-7EEDEE1BF7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45720</xdr:colOff>
      <xdr:row>99</xdr:row>
      <xdr:rowOff>26670</xdr:rowOff>
    </xdr:from>
    <xdr:to>
      <xdr:col>10</xdr:col>
      <xdr:colOff>350520</xdr:colOff>
      <xdr:row>114</xdr:row>
      <xdr:rowOff>26670</xdr:rowOff>
    </xdr:to>
    <xdr:graphicFrame macro="">
      <xdr:nvGraphicFramePr>
        <xdr:cNvPr id="7" name="Chart 6">
          <a:extLst>
            <a:ext uri="{FF2B5EF4-FFF2-40B4-BE49-F238E27FC236}">
              <a16:creationId xmlns:a16="http://schemas.microsoft.com/office/drawing/2014/main" id="{DAB9FB74-FE6F-83AB-3E29-0AFB0E2FA2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0</xdr:colOff>
      <xdr:row>116</xdr:row>
      <xdr:rowOff>0</xdr:rowOff>
    </xdr:from>
    <xdr:to>
      <xdr:col>10</xdr:col>
      <xdr:colOff>304800</xdr:colOff>
      <xdr:row>131</xdr:row>
      <xdr:rowOff>0</xdr:rowOff>
    </xdr:to>
    <xdr:graphicFrame macro="">
      <xdr:nvGraphicFramePr>
        <xdr:cNvPr id="8" name="Chart 7">
          <a:extLst>
            <a:ext uri="{FF2B5EF4-FFF2-40B4-BE49-F238E27FC236}">
              <a16:creationId xmlns:a16="http://schemas.microsoft.com/office/drawing/2014/main" id="{2B1FEC45-19DB-43A9-9F87-BC05956389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8</xdr:col>
      <xdr:colOff>350520</xdr:colOff>
      <xdr:row>7</xdr:row>
      <xdr:rowOff>22860</xdr:rowOff>
    </xdr:from>
    <xdr:to>
      <xdr:col>11</xdr:col>
      <xdr:colOff>350520</xdr:colOff>
      <xdr:row>20</xdr:row>
      <xdr:rowOff>112395</xdr:rowOff>
    </xdr:to>
    <mc:AlternateContent xmlns:mc="http://schemas.openxmlformats.org/markup-compatibility/2006" xmlns:a14="http://schemas.microsoft.com/office/drawing/2010/main">
      <mc:Choice Requires="a14">
        <xdr:graphicFrame macro="">
          <xdr:nvGraphicFramePr>
            <xdr:cNvPr id="9" name="Bank_Type">
              <a:extLst>
                <a:ext uri="{FF2B5EF4-FFF2-40B4-BE49-F238E27FC236}">
                  <a16:creationId xmlns:a16="http://schemas.microsoft.com/office/drawing/2014/main" id="{64D13B62-FB64-666B-82AE-1A2026DBD924}"/>
                </a:ext>
              </a:extLst>
            </xdr:cNvPr>
            <xdr:cNvGraphicFramePr/>
          </xdr:nvGraphicFramePr>
          <xdr:xfrm>
            <a:off x="0" y="0"/>
            <a:ext cx="0" cy="0"/>
          </xdr:xfrm>
          <a:graphic>
            <a:graphicData uri="http://schemas.microsoft.com/office/drawing/2010/slicer">
              <sle:slicer xmlns:sle="http://schemas.microsoft.com/office/drawing/2010/slicer" name="Bank_Type"/>
            </a:graphicData>
          </a:graphic>
        </xdr:graphicFrame>
      </mc:Choice>
      <mc:Fallback xmlns="">
        <xdr:sp macro="" textlink="">
          <xdr:nvSpPr>
            <xdr:cNvPr id="0" name=""/>
            <xdr:cNvSpPr>
              <a:spLocks noTextEdit="1"/>
            </xdr:cNvSpPr>
          </xdr:nvSpPr>
          <xdr:spPr>
            <a:xfrm>
              <a:off x="9243060" y="13030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0</xdr:colOff>
      <xdr:row>7</xdr:row>
      <xdr:rowOff>15240</xdr:rowOff>
    </xdr:from>
    <xdr:to>
      <xdr:col>18</xdr:col>
      <xdr:colOff>0</xdr:colOff>
      <xdr:row>20</xdr:row>
      <xdr:rowOff>104775</xdr:rowOff>
    </xdr:to>
    <mc:AlternateContent xmlns:mc="http://schemas.openxmlformats.org/markup-compatibility/2006" xmlns:a14="http://schemas.microsoft.com/office/drawing/2010/main">
      <mc:Choice Requires="a14">
        <xdr:graphicFrame macro="">
          <xdr:nvGraphicFramePr>
            <xdr:cNvPr id="10" name="Year">
              <a:extLst>
                <a:ext uri="{FF2B5EF4-FFF2-40B4-BE49-F238E27FC236}">
                  <a16:creationId xmlns:a16="http://schemas.microsoft.com/office/drawing/2014/main" id="{12C6D583-F360-9FF8-28AA-7AA60B46432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3159740" y="12954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586740</xdr:colOff>
      <xdr:row>7</xdr:row>
      <xdr:rowOff>30480</xdr:rowOff>
    </xdr:from>
    <xdr:to>
      <xdr:col>14</xdr:col>
      <xdr:colOff>586740</xdr:colOff>
      <xdr:row>20</xdr:row>
      <xdr:rowOff>120015</xdr:rowOff>
    </xdr:to>
    <mc:AlternateContent xmlns:mc="http://schemas.openxmlformats.org/markup-compatibility/2006" xmlns:a14="http://schemas.microsoft.com/office/drawing/2010/main">
      <mc:Choice Requires="a14">
        <xdr:graphicFrame macro="">
          <xdr:nvGraphicFramePr>
            <xdr:cNvPr id="11" name="Risk_Rating">
              <a:extLst>
                <a:ext uri="{FF2B5EF4-FFF2-40B4-BE49-F238E27FC236}">
                  <a16:creationId xmlns:a16="http://schemas.microsoft.com/office/drawing/2014/main" id="{FC0E73DC-6609-C2AF-836C-82B49AB6403A}"/>
                </a:ext>
              </a:extLst>
            </xdr:cNvPr>
            <xdr:cNvGraphicFramePr/>
          </xdr:nvGraphicFramePr>
          <xdr:xfrm>
            <a:off x="0" y="0"/>
            <a:ext cx="0" cy="0"/>
          </xdr:xfrm>
          <a:graphic>
            <a:graphicData uri="http://schemas.microsoft.com/office/drawing/2010/slicer">
              <sle:slicer xmlns:sle="http://schemas.microsoft.com/office/drawing/2010/slicer" name="Risk_Rating"/>
            </a:graphicData>
          </a:graphic>
        </xdr:graphicFrame>
      </mc:Choice>
      <mc:Fallback xmlns="">
        <xdr:sp macro="" textlink="">
          <xdr:nvSpPr>
            <xdr:cNvPr id="0" name=""/>
            <xdr:cNvSpPr>
              <a:spLocks noTextEdit="1"/>
            </xdr:cNvSpPr>
          </xdr:nvSpPr>
          <xdr:spPr>
            <a:xfrm>
              <a:off x="11308080" y="13106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xdr:colOff>
      <xdr:row>0</xdr:row>
      <xdr:rowOff>38100</xdr:rowOff>
    </xdr:from>
    <xdr:to>
      <xdr:col>23</xdr:col>
      <xdr:colOff>121920</xdr:colOff>
      <xdr:row>30</xdr:row>
      <xdr:rowOff>68580</xdr:rowOff>
    </xdr:to>
    <xdr:sp macro="" textlink="">
      <xdr:nvSpPr>
        <xdr:cNvPr id="2" name="Rectangle 1">
          <a:extLst>
            <a:ext uri="{FF2B5EF4-FFF2-40B4-BE49-F238E27FC236}">
              <a16:creationId xmlns:a16="http://schemas.microsoft.com/office/drawing/2014/main" id="{0C72B18B-8A10-9AE2-8813-D901E08DD54F}"/>
            </a:ext>
          </a:extLst>
        </xdr:cNvPr>
        <xdr:cNvSpPr/>
      </xdr:nvSpPr>
      <xdr:spPr>
        <a:xfrm>
          <a:off x="15240" y="38100"/>
          <a:ext cx="14127480" cy="551688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304800</xdr:colOff>
      <xdr:row>0</xdr:row>
      <xdr:rowOff>91440</xdr:rowOff>
    </xdr:from>
    <xdr:to>
      <xdr:col>23</xdr:col>
      <xdr:colOff>38100</xdr:colOff>
      <xdr:row>2</xdr:row>
      <xdr:rowOff>152400</xdr:rowOff>
    </xdr:to>
    <xdr:sp macro="" textlink="">
      <xdr:nvSpPr>
        <xdr:cNvPr id="3" name="Rectangle 2">
          <a:extLst>
            <a:ext uri="{FF2B5EF4-FFF2-40B4-BE49-F238E27FC236}">
              <a16:creationId xmlns:a16="http://schemas.microsoft.com/office/drawing/2014/main" id="{1B09BD32-7703-44BC-BD52-E7FF62FA0FC4}"/>
            </a:ext>
          </a:extLst>
        </xdr:cNvPr>
        <xdr:cNvSpPr/>
      </xdr:nvSpPr>
      <xdr:spPr>
        <a:xfrm>
          <a:off x="2133600" y="91440"/>
          <a:ext cx="11925300" cy="426720"/>
        </a:xfrm>
        <a:prstGeom prst="rect">
          <a:avLst/>
        </a:prstGeom>
        <a:solidFill>
          <a:schemeClr val="accent3">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ysClr val="windowText" lastClr="000000"/>
              </a:solidFill>
            </a:rPr>
            <a:t>UK's</a:t>
          </a:r>
          <a:r>
            <a:rPr lang="en-US" sz="1800" b="1" baseline="0">
              <a:solidFill>
                <a:sysClr val="windowText" lastClr="000000"/>
              </a:solidFill>
            </a:rPr>
            <a:t> Banking </a:t>
          </a:r>
          <a:r>
            <a:rPr lang="en-US" sz="1800" b="1">
              <a:solidFill>
                <a:sysClr val="windowText" lastClr="000000"/>
              </a:solidFill>
            </a:rPr>
            <a:t>Financial</a:t>
          </a:r>
          <a:r>
            <a:rPr lang="en-US" sz="1800" b="1" baseline="0">
              <a:solidFill>
                <a:sysClr val="windowText" lastClr="000000"/>
              </a:solidFill>
            </a:rPr>
            <a:t> performance and Efficiency (2015 -2024)</a:t>
          </a:r>
          <a:endParaRPr lang="en-US" sz="1800" b="1">
            <a:solidFill>
              <a:sysClr val="windowText" lastClr="000000"/>
            </a:solidFill>
          </a:endParaRPr>
        </a:p>
      </xdr:txBody>
    </xdr:sp>
    <xdr:clientData/>
  </xdr:twoCellAnchor>
  <xdr:twoCellAnchor>
    <xdr:from>
      <xdr:col>0</xdr:col>
      <xdr:colOff>15240</xdr:colOff>
      <xdr:row>0</xdr:row>
      <xdr:rowOff>76200</xdr:rowOff>
    </xdr:from>
    <xdr:to>
      <xdr:col>3</xdr:col>
      <xdr:colOff>106680</xdr:colOff>
      <xdr:row>30</xdr:row>
      <xdr:rowOff>45720</xdr:rowOff>
    </xdr:to>
    <xdr:sp macro="" textlink="">
      <xdr:nvSpPr>
        <xdr:cNvPr id="4" name="Rectangle 3">
          <a:extLst>
            <a:ext uri="{FF2B5EF4-FFF2-40B4-BE49-F238E27FC236}">
              <a16:creationId xmlns:a16="http://schemas.microsoft.com/office/drawing/2014/main" id="{4EFB1E4E-58EE-A3C6-5F0F-AA3C21C10ADB}"/>
            </a:ext>
          </a:extLst>
        </xdr:cNvPr>
        <xdr:cNvSpPr/>
      </xdr:nvSpPr>
      <xdr:spPr>
        <a:xfrm>
          <a:off x="15240" y="76200"/>
          <a:ext cx="1920240" cy="5455920"/>
        </a:xfrm>
        <a:prstGeom prst="rect">
          <a:avLst/>
        </a:prstGeom>
        <a:solidFill>
          <a:sysClr val="window" lastClr="FFFFFF"/>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297180</xdr:colOff>
      <xdr:row>17</xdr:row>
      <xdr:rowOff>0</xdr:rowOff>
    </xdr:from>
    <xdr:to>
      <xdr:col>10</xdr:col>
      <xdr:colOff>548640</xdr:colOff>
      <xdr:row>30</xdr:row>
      <xdr:rowOff>45720</xdr:rowOff>
    </xdr:to>
    <xdr:sp macro="" textlink="">
      <xdr:nvSpPr>
        <xdr:cNvPr id="8" name="Rectangle 7">
          <a:extLst>
            <a:ext uri="{FF2B5EF4-FFF2-40B4-BE49-F238E27FC236}">
              <a16:creationId xmlns:a16="http://schemas.microsoft.com/office/drawing/2014/main" id="{669E2448-C6E9-4325-A546-D147B56B717A}"/>
            </a:ext>
          </a:extLst>
        </xdr:cNvPr>
        <xdr:cNvSpPr/>
      </xdr:nvSpPr>
      <xdr:spPr>
        <a:xfrm>
          <a:off x="2125980" y="3108960"/>
          <a:ext cx="4518660" cy="242316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106680</xdr:colOff>
      <xdr:row>3</xdr:row>
      <xdr:rowOff>60960</xdr:rowOff>
    </xdr:from>
    <xdr:to>
      <xdr:col>23</xdr:col>
      <xdr:colOff>99060</xdr:colOff>
      <xdr:row>11</xdr:row>
      <xdr:rowOff>144780</xdr:rowOff>
    </xdr:to>
    <xdr:sp macro="" textlink="">
      <xdr:nvSpPr>
        <xdr:cNvPr id="9" name="Rectangle 8">
          <a:extLst>
            <a:ext uri="{FF2B5EF4-FFF2-40B4-BE49-F238E27FC236}">
              <a16:creationId xmlns:a16="http://schemas.microsoft.com/office/drawing/2014/main" id="{36F07CC6-E653-4410-B401-2F74FCFF54EF}"/>
            </a:ext>
          </a:extLst>
        </xdr:cNvPr>
        <xdr:cNvSpPr/>
      </xdr:nvSpPr>
      <xdr:spPr>
        <a:xfrm>
          <a:off x="11689080" y="609600"/>
          <a:ext cx="2430780" cy="154686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190500</xdr:colOff>
      <xdr:row>3</xdr:row>
      <xdr:rowOff>53340</xdr:rowOff>
    </xdr:from>
    <xdr:to>
      <xdr:col>19</xdr:col>
      <xdr:colOff>99060</xdr:colOff>
      <xdr:row>11</xdr:row>
      <xdr:rowOff>137160</xdr:rowOff>
    </xdr:to>
    <xdr:sp macro="" textlink="">
      <xdr:nvSpPr>
        <xdr:cNvPr id="14" name="Rectangle 13">
          <a:extLst>
            <a:ext uri="{FF2B5EF4-FFF2-40B4-BE49-F238E27FC236}">
              <a16:creationId xmlns:a16="http://schemas.microsoft.com/office/drawing/2014/main" id="{A7FBACBD-441F-4009-A27A-F3062A3B101D}"/>
            </a:ext>
          </a:extLst>
        </xdr:cNvPr>
        <xdr:cNvSpPr/>
      </xdr:nvSpPr>
      <xdr:spPr>
        <a:xfrm>
          <a:off x="9334500" y="601980"/>
          <a:ext cx="2346960" cy="154686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556260</xdr:colOff>
      <xdr:row>3</xdr:row>
      <xdr:rowOff>38100</xdr:rowOff>
    </xdr:from>
    <xdr:to>
      <xdr:col>15</xdr:col>
      <xdr:colOff>167640</xdr:colOff>
      <xdr:row>11</xdr:row>
      <xdr:rowOff>121920</xdr:rowOff>
    </xdr:to>
    <xdr:sp macro="" textlink="">
      <xdr:nvSpPr>
        <xdr:cNvPr id="15" name="Rectangle 14">
          <a:extLst>
            <a:ext uri="{FF2B5EF4-FFF2-40B4-BE49-F238E27FC236}">
              <a16:creationId xmlns:a16="http://schemas.microsoft.com/office/drawing/2014/main" id="{28144067-251D-47A6-8B62-D8896C3923DD}"/>
            </a:ext>
          </a:extLst>
        </xdr:cNvPr>
        <xdr:cNvSpPr/>
      </xdr:nvSpPr>
      <xdr:spPr>
        <a:xfrm>
          <a:off x="7261860" y="586740"/>
          <a:ext cx="2049780" cy="154686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304800</xdr:colOff>
      <xdr:row>3</xdr:row>
      <xdr:rowOff>45720</xdr:rowOff>
    </xdr:from>
    <xdr:to>
      <xdr:col>10</xdr:col>
      <xdr:colOff>556260</xdr:colOff>
      <xdr:row>16</xdr:row>
      <xdr:rowOff>38100</xdr:rowOff>
    </xdr:to>
    <xdr:sp macro="" textlink="">
      <xdr:nvSpPr>
        <xdr:cNvPr id="16" name="Rectangle 15">
          <a:extLst>
            <a:ext uri="{FF2B5EF4-FFF2-40B4-BE49-F238E27FC236}">
              <a16:creationId xmlns:a16="http://schemas.microsoft.com/office/drawing/2014/main" id="{1CA9A83B-1CB0-4F05-8FDF-DA05E4F1B5F7}"/>
            </a:ext>
          </a:extLst>
        </xdr:cNvPr>
        <xdr:cNvSpPr/>
      </xdr:nvSpPr>
      <xdr:spPr>
        <a:xfrm>
          <a:off x="2133600" y="594360"/>
          <a:ext cx="4518660" cy="236982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114300</xdr:colOff>
      <xdr:row>12</xdr:row>
      <xdr:rowOff>160020</xdr:rowOff>
    </xdr:from>
    <xdr:to>
      <xdr:col>23</xdr:col>
      <xdr:colOff>83820</xdr:colOff>
      <xdr:row>30</xdr:row>
      <xdr:rowOff>45720</xdr:rowOff>
    </xdr:to>
    <xdr:sp macro="" textlink="">
      <xdr:nvSpPr>
        <xdr:cNvPr id="17" name="Rectangle 16">
          <a:extLst>
            <a:ext uri="{FF2B5EF4-FFF2-40B4-BE49-F238E27FC236}">
              <a16:creationId xmlns:a16="http://schemas.microsoft.com/office/drawing/2014/main" id="{C2256801-98D4-4854-9973-F0BDC0B8C29F}"/>
            </a:ext>
          </a:extLst>
        </xdr:cNvPr>
        <xdr:cNvSpPr/>
      </xdr:nvSpPr>
      <xdr:spPr>
        <a:xfrm>
          <a:off x="8039100" y="2354580"/>
          <a:ext cx="6065520" cy="317754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579120</xdr:colOff>
      <xdr:row>3</xdr:row>
      <xdr:rowOff>60960</xdr:rowOff>
    </xdr:from>
    <xdr:to>
      <xdr:col>15</xdr:col>
      <xdr:colOff>129540</xdr:colOff>
      <xdr:row>6</xdr:row>
      <xdr:rowOff>91440</xdr:rowOff>
    </xdr:to>
    <xdr:sp macro="" textlink="">
      <xdr:nvSpPr>
        <xdr:cNvPr id="27" name="TextBox 26">
          <a:extLst>
            <a:ext uri="{FF2B5EF4-FFF2-40B4-BE49-F238E27FC236}">
              <a16:creationId xmlns:a16="http://schemas.microsoft.com/office/drawing/2014/main" id="{2AB4ECC7-FB97-8BA4-E945-CC611838DDD3}"/>
            </a:ext>
          </a:extLst>
        </xdr:cNvPr>
        <xdr:cNvSpPr txBox="1"/>
      </xdr:nvSpPr>
      <xdr:spPr>
        <a:xfrm>
          <a:off x="7284720" y="609600"/>
          <a:ext cx="1988820" cy="579120"/>
        </a:xfrm>
        <a:prstGeom prst="roundRect">
          <a:avLst>
            <a:gd name="adj" fmla="val 36404"/>
          </a:avLst>
        </a:prstGeom>
        <a:solidFill>
          <a:schemeClr val="accent3">
            <a:lumMod val="60000"/>
            <a:lumOff val="40000"/>
          </a:schemeClr>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ysClr val="windowText" lastClr="000000"/>
              </a:solidFill>
            </a:rPr>
            <a:t>Total Profit</a:t>
          </a:r>
        </a:p>
      </xdr:txBody>
    </xdr:sp>
    <xdr:clientData/>
  </xdr:twoCellAnchor>
  <xdr:twoCellAnchor>
    <xdr:from>
      <xdr:col>15</xdr:col>
      <xdr:colOff>243840</xdr:colOff>
      <xdr:row>3</xdr:row>
      <xdr:rowOff>68580</xdr:rowOff>
    </xdr:from>
    <xdr:to>
      <xdr:col>19</xdr:col>
      <xdr:colOff>91440</xdr:colOff>
      <xdr:row>6</xdr:row>
      <xdr:rowOff>83820</xdr:rowOff>
    </xdr:to>
    <xdr:sp macro="" textlink="">
      <xdr:nvSpPr>
        <xdr:cNvPr id="28" name="TextBox 27">
          <a:extLst>
            <a:ext uri="{FF2B5EF4-FFF2-40B4-BE49-F238E27FC236}">
              <a16:creationId xmlns:a16="http://schemas.microsoft.com/office/drawing/2014/main" id="{AC86879C-5FE0-E679-92C1-F33B1B20DD9A}"/>
            </a:ext>
          </a:extLst>
        </xdr:cNvPr>
        <xdr:cNvSpPr txBox="1"/>
      </xdr:nvSpPr>
      <xdr:spPr>
        <a:xfrm>
          <a:off x="9387840" y="617220"/>
          <a:ext cx="2286000" cy="563880"/>
        </a:xfrm>
        <a:prstGeom prst="roundRect">
          <a:avLst>
            <a:gd name="adj" fmla="val 32884"/>
          </a:avLst>
        </a:prstGeom>
        <a:solidFill>
          <a:schemeClr val="accent3">
            <a:lumMod val="60000"/>
            <a:lumOff val="40000"/>
          </a:schemeClr>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ysClr val="windowText" lastClr="000000"/>
              </a:solidFill>
            </a:rPr>
            <a:t>Avg Cost to Income Ratio</a:t>
          </a:r>
        </a:p>
      </xdr:txBody>
    </xdr:sp>
    <xdr:clientData/>
  </xdr:twoCellAnchor>
  <xdr:twoCellAnchor>
    <xdr:from>
      <xdr:col>19</xdr:col>
      <xdr:colOff>175260</xdr:colOff>
      <xdr:row>3</xdr:row>
      <xdr:rowOff>76200</xdr:rowOff>
    </xdr:from>
    <xdr:to>
      <xdr:col>23</xdr:col>
      <xdr:colOff>53340</xdr:colOff>
      <xdr:row>6</xdr:row>
      <xdr:rowOff>99060</xdr:rowOff>
    </xdr:to>
    <xdr:sp macro="" textlink="">
      <xdr:nvSpPr>
        <xdr:cNvPr id="29" name="TextBox 28">
          <a:extLst>
            <a:ext uri="{FF2B5EF4-FFF2-40B4-BE49-F238E27FC236}">
              <a16:creationId xmlns:a16="http://schemas.microsoft.com/office/drawing/2014/main" id="{8F8BF1A8-7315-A690-FB74-738E33BDBE6B}"/>
            </a:ext>
          </a:extLst>
        </xdr:cNvPr>
        <xdr:cNvSpPr txBox="1"/>
      </xdr:nvSpPr>
      <xdr:spPr>
        <a:xfrm>
          <a:off x="11757660" y="624840"/>
          <a:ext cx="2316480" cy="571500"/>
        </a:xfrm>
        <a:prstGeom prst="roundRect">
          <a:avLst>
            <a:gd name="adj" fmla="val 34000"/>
          </a:avLst>
        </a:prstGeom>
        <a:solidFill>
          <a:schemeClr val="accent3">
            <a:lumMod val="60000"/>
            <a:lumOff val="40000"/>
          </a:schemeClr>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ysClr val="windowText" lastClr="000000"/>
              </a:solidFill>
            </a:rPr>
            <a:t>Avg Interest Income Dependency</a:t>
          </a:r>
        </a:p>
      </xdr:txBody>
    </xdr:sp>
    <xdr:clientData/>
  </xdr:twoCellAnchor>
  <xdr:twoCellAnchor>
    <xdr:from>
      <xdr:col>15</xdr:col>
      <xdr:colOff>243840</xdr:colOff>
      <xdr:row>7</xdr:row>
      <xdr:rowOff>91440</xdr:rowOff>
    </xdr:from>
    <xdr:to>
      <xdr:col>19</xdr:col>
      <xdr:colOff>76200</xdr:colOff>
      <xdr:row>10</xdr:row>
      <xdr:rowOff>106680</xdr:rowOff>
    </xdr:to>
    <xdr:sp macro="" textlink="'Pivot table'!$B$66">
      <xdr:nvSpPr>
        <xdr:cNvPr id="31" name="TextBox 30">
          <a:extLst>
            <a:ext uri="{FF2B5EF4-FFF2-40B4-BE49-F238E27FC236}">
              <a16:creationId xmlns:a16="http://schemas.microsoft.com/office/drawing/2014/main" id="{30D6313F-0A48-44F4-A929-7B99ECBE76AE}"/>
            </a:ext>
          </a:extLst>
        </xdr:cNvPr>
        <xdr:cNvSpPr txBox="1"/>
      </xdr:nvSpPr>
      <xdr:spPr>
        <a:xfrm>
          <a:off x="9387840" y="1371600"/>
          <a:ext cx="2270760" cy="5638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49BCA63-3D1E-4FED-9A23-69C16C7D0873}" type="TxLink">
            <a:rPr lang="en-US" sz="1200" b="1" i="0" u="none" strike="noStrike">
              <a:solidFill>
                <a:sysClr val="windowText" lastClr="000000"/>
              </a:solidFill>
              <a:latin typeface="Calibri"/>
              <a:ea typeface="Calibri"/>
              <a:cs typeface="Calibri"/>
            </a:rPr>
            <a:pPr algn="ctr"/>
            <a:t>16029.37%</a:t>
          </a:fld>
          <a:endParaRPr lang="en-US" sz="1200" b="1">
            <a:solidFill>
              <a:sysClr val="windowText" lastClr="000000"/>
            </a:solidFill>
          </a:endParaRPr>
        </a:p>
      </xdr:txBody>
    </xdr:sp>
    <xdr:clientData/>
  </xdr:twoCellAnchor>
  <xdr:twoCellAnchor>
    <xdr:from>
      <xdr:col>19</xdr:col>
      <xdr:colOff>175260</xdr:colOff>
      <xdr:row>7</xdr:row>
      <xdr:rowOff>68580</xdr:rowOff>
    </xdr:from>
    <xdr:to>
      <xdr:col>23</xdr:col>
      <xdr:colOff>22860</xdr:colOff>
      <xdr:row>10</xdr:row>
      <xdr:rowOff>99060</xdr:rowOff>
    </xdr:to>
    <xdr:sp macro="" textlink="'Pivot table'!$C$66">
      <xdr:nvSpPr>
        <xdr:cNvPr id="32" name="TextBox 31">
          <a:extLst>
            <a:ext uri="{FF2B5EF4-FFF2-40B4-BE49-F238E27FC236}">
              <a16:creationId xmlns:a16="http://schemas.microsoft.com/office/drawing/2014/main" id="{91DB8E6E-B028-4B6C-8765-B041051CD365}"/>
            </a:ext>
          </a:extLst>
        </xdr:cNvPr>
        <xdr:cNvSpPr txBox="1"/>
      </xdr:nvSpPr>
      <xdr:spPr>
        <a:xfrm>
          <a:off x="11757660" y="1348740"/>
          <a:ext cx="2286000" cy="5791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7969E69-54B6-465A-B8E0-64EB44AD2B00}" type="TxLink">
            <a:rPr lang="en-US" sz="1200" b="1" i="0" u="none" strike="noStrike">
              <a:solidFill>
                <a:sysClr val="windowText" lastClr="000000"/>
              </a:solidFill>
              <a:latin typeface="Calibri"/>
              <a:ea typeface="Calibri"/>
              <a:cs typeface="Calibri"/>
            </a:rPr>
            <a:pPr algn="ctr"/>
            <a:t>151.46%</a:t>
          </a:fld>
          <a:endParaRPr lang="en-US" sz="1200" b="1">
            <a:solidFill>
              <a:sysClr val="windowText" lastClr="000000"/>
            </a:solidFill>
          </a:endParaRPr>
        </a:p>
      </xdr:txBody>
    </xdr:sp>
    <xdr:clientData/>
  </xdr:twoCellAnchor>
  <xdr:twoCellAnchor>
    <xdr:from>
      <xdr:col>3</xdr:col>
      <xdr:colOff>304800</xdr:colOff>
      <xdr:row>3</xdr:row>
      <xdr:rowOff>76200</xdr:rowOff>
    </xdr:from>
    <xdr:to>
      <xdr:col>11</xdr:col>
      <xdr:colOff>533400</xdr:colOff>
      <xdr:row>16</xdr:row>
      <xdr:rowOff>99060</xdr:rowOff>
    </xdr:to>
    <xdr:sp macro="" textlink="">
      <xdr:nvSpPr>
        <xdr:cNvPr id="5" name="Rectangle 4">
          <a:extLst>
            <a:ext uri="{FF2B5EF4-FFF2-40B4-BE49-F238E27FC236}">
              <a16:creationId xmlns:a16="http://schemas.microsoft.com/office/drawing/2014/main" id="{77C760B0-AB8B-A2E0-AF48-964AAE60C3B1}"/>
            </a:ext>
          </a:extLst>
        </xdr:cNvPr>
        <xdr:cNvSpPr/>
      </xdr:nvSpPr>
      <xdr:spPr>
        <a:xfrm>
          <a:off x="2133600" y="624840"/>
          <a:ext cx="5105400" cy="240030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312420</xdr:colOff>
      <xdr:row>16</xdr:row>
      <xdr:rowOff>121920</xdr:rowOff>
    </xdr:from>
    <xdr:to>
      <xdr:col>13</xdr:col>
      <xdr:colOff>60960</xdr:colOff>
      <xdr:row>30</xdr:row>
      <xdr:rowOff>68580</xdr:rowOff>
    </xdr:to>
    <xdr:sp macro="" textlink="">
      <xdr:nvSpPr>
        <xdr:cNvPr id="10" name="Rectangle 9">
          <a:extLst>
            <a:ext uri="{FF2B5EF4-FFF2-40B4-BE49-F238E27FC236}">
              <a16:creationId xmlns:a16="http://schemas.microsoft.com/office/drawing/2014/main" id="{7F5D6402-ED1F-4EAE-A648-97A363080213}"/>
            </a:ext>
          </a:extLst>
        </xdr:cNvPr>
        <xdr:cNvSpPr/>
      </xdr:nvSpPr>
      <xdr:spPr>
        <a:xfrm>
          <a:off x="2141220" y="3048000"/>
          <a:ext cx="5844540" cy="250698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68580</xdr:colOff>
      <xdr:row>12</xdr:row>
      <xdr:rowOff>129540</xdr:rowOff>
    </xdr:from>
    <xdr:to>
      <xdr:col>23</xdr:col>
      <xdr:colOff>99060</xdr:colOff>
      <xdr:row>30</xdr:row>
      <xdr:rowOff>53340</xdr:rowOff>
    </xdr:to>
    <xdr:sp macro="" textlink="">
      <xdr:nvSpPr>
        <xdr:cNvPr id="11" name="Rectangle 10">
          <a:extLst>
            <a:ext uri="{FF2B5EF4-FFF2-40B4-BE49-F238E27FC236}">
              <a16:creationId xmlns:a16="http://schemas.microsoft.com/office/drawing/2014/main" id="{75B5643D-5099-45CA-892B-BE0F2AC3C9B6}"/>
            </a:ext>
          </a:extLst>
        </xdr:cNvPr>
        <xdr:cNvSpPr/>
      </xdr:nvSpPr>
      <xdr:spPr>
        <a:xfrm>
          <a:off x="7993380" y="2324100"/>
          <a:ext cx="6126480" cy="321564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41910</xdr:colOff>
      <xdr:row>12</xdr:row>
      <xdr:rowOff>160020</xdr:rowOff>
    </xdr:from>
    <xdr:to>
      <xdr:col>3</xdr:col>
      <xdr:colOff>95250</xdr:colOff>
      <xdr:row>30</xdr:row>
      <xdr:rowOff>22860</xdr:rowOff>
    </xdr:to>
    <mc:AlternateContent xmlns:mc="http://schemas.openxmlformats.org/markup-compatibility/2006" xmlns:a14="http://schemas.microsoft.com/office/drawing/2010/main">
      <mc:Choice Requires="a14">
        <xdr:graphicFrame macro="">
          <xdr:nvGraphicFramePr>
            <xdr:cNvPr id="12" name="Year 1">
              <a:extLst>
                <a:ext uri="{FF2B5EF4-FFF2-40B4-BE49-F238E27FC236}">
                  <a16:creationId xmlns:a16="http://schemas.microsoft.com/office/drawing/2014/main" id="{4C72C6B4-31F0-4F4C-97F5-C063B6D9C9A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41910" y="2354580"/>
              <a:ext cx="1882140" cy="3154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41910</xdr:colOff>
      <xdr:row>0</xdr:row>
      <xdr:rowOff>76200</xdr:rowOff>
    </xdr:from>
    <xdr:to>
      <xdr:col>3</xdr:col>
      <xdr:colOff>95250</xdr:colOff>
      <xdr:row>7</xdr:row>
      <xdr:rowOff>22859</xdr:rowOff>
    </xdr:to>
    <mc:AlternateContent xmlns:mc="http://schemas.openxmlformats.org/markup-compatibility/2006" xmlns:a14="http://schemas.microsoft.com/office/drawing/2010/main">
      <mc:Choice Requires="a14">
        <xdr:graphicFrame macro="">
          <xdr:nvGraphicFramePr>
            <xdr:cNvPr id="13" name="Risk_Rating 1">
              <a:extLst>
                <a:ext uri="{FF2B5EF4-FFF2-40B4-BE49-F238E27FC236}">
                  <a16:creationId xmlns:a16="http://schemas.microsoft.com/office/drawing/2014/main" id="{DADA9FBB-8D5B-43E1-AAEB-7B11D2191532}"/>
                </a:ext>
              </a:extLst>
            </xdr:cNvPr>
            <xdr:cNvGraphicFramePr/>
          </xdr:nvGraphicFramePr>
          <xdr:xfrm>
            <a:off x="0" y="0"/>
            <a:ext cx="0" cy="0"/>
          </xdr:xfrm>
          <a:graphic>
            <a:graphicData uri="http://schemas.microsoft.com/office/drawing/2010/slicer">
              <sle:slicer xmlns:sle="http://schemas.microsoft.com/office/drawing/2010/slicer" name="Risk_Rating 1"/>
            </a:graphicData>
          </a:graphic>
        </xdr:graphicFrame>
      </mc:Choice>
      <mc:Fallback xmlns="">
        <xdr:sp macro="" textlink="">
          <xdr:nvSpPr>
            <xdr:cNvPr id="0" name=""/>
            <xdr:cNvSpPr>
              <a:spLocks noTextEdit="1"/>
            </xdr:cNvSpPr>
          </xdr:nvSpPr>
          <xdr:spPr>
            <a:xfrm>
              <a:off x="41910" y="76200"/>
              <a:ext cx="1882140" cy="12268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7</xdr:row>
      <xdr:rowOff>41909</xdr:rowOff>
    </xdr:from>
    <xdr:to>
      <xdr:col>3</xdr:col>
      <xdr:colOff>114300</xdr:colOff>
      <xdr:row>12</xdr:row>
      <xdr:rowOff>140969</xdr:rowOff>
    </xdr:to>
    <mc:AlternateContent xmlns:mc="http://schemas.openxmlformats.org/markup-compatibility/2006" xmlns:a14="http://schemas.microsoft.com/office/drawing/2010/main">
      <mc:Choice Requires="a14">
        <xdr:graphicFrame macro="">
          <xdr:nvGraphicFramePr>
            <xdr:cNvPr id="21" name="Bank_Type 1">
              <a:extLst>
                <a:ext uri="{FF2B5EF4-FFF2-40B4-BE49-F238E27FC236}">
                  <a16:creationId xmlns:a16="http://schemas.microsoft.com/office/drawing/2014/main" id="{D43DB88D-8983-464F-937D-676A7D57E432}"/>
                </a:ext>
              </a:extLst>
            </xdr:cNvPr>
            <xdr:cNvGraphicFramePr/>
          </xdr:nvGraphicFramePr>
          <xdr:xfrm>
            <a:off x="0" y="0"/>
            <a:ext cx="0" cy="0"/>
          </xdr:xfrm>
          <a:graphic>
            <a:graphicData uri="http://schemas.microsoft.com/office/drawing/2010/slicer">
              <sle:slicer xmlns:sle="http://schemas.microsoft.com/office/drawing/2010/slicer" name="Bank_Type 1"/>
            </a:graphicData>
          </a:graphic>
        </xdr:graphicFrame>
      </mc:Choice>
      <mc:Fallback xmlns="">
        <xdr:sp macro="" textlink="">
          <xdr:nvSpPr>
            <xdr:cNvPr id="0" name=""/>
            <xdr:cNvSpPr>
              <a:spLocks noTextEdit="1"/>
            </xdr:cNvSpPr>
          </xdr:nvSpPr>
          <xdr:spPr>
            <a:xfrm>
              <a:off x="38100" y="1322069"/>
              <a:ext cx="1905000" cy="10134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45720</xdr:colOff>
      <xdr:row>12</xdr:row>
      <xdr:rowOff>144780</xdr:rowOff>
    </xdr:from>
    <xdr:to>
      <xdr:col>23</xdr:col>
      <xdr:colOff>76200</xdr:colOff>
      <xdr:row>30</xdr:row>
      <xdr:rowOff>30480</xdr:rowOff>
    </xdr:to>
    <xdr:graphicFrame macro="">
      <xdr:nvGraphicFramePr>
        <xdr:cNvPr id="22" name="Chart 21">
          <a:extLst>
            <a:ext uri="{FF2B5EF4-FFF2-40B4-BE49-F238E27FC236}">
              <a16:creationId xmlns:a16="http://schemas.microsoft.com/office/drawing/2014/main" id="{8BCE9037-B8A8-4495-ADBA-3132EFB079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327660</xdr:colOff>
      <xdr:row>3</xdr:row>
      <xdr:rowOff>83820</xdr:rowOff>
    </xdr:from>
    <xdr:to>
      <xdr:col>11</xdr:col>
      <xdr:colOff>525780</xdr:colOff>
      <xdr:row>16</xdr:row>
      <xdr:rowOff>76200</xdr:rowOff>
    </xdr:to>
    <xdr:graphicFrame macro="">
      <xdr:nvGraphicFramePr>
        <xdr:cNvPr id="23" name="Chart 22">
          <a:extLst>
            <a:ext uri="{FF2B5EF4-FFF2-40B4-BE49-F238E27FC236}">
              <a16:creationId xmlns:a16="http://schemas.microsoft.com/office/drawing/2014/main" id="{389B8412-2E74-4909-B6D2-C7A43F591E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335280</xdr:colOff>
      <xdr:row>16</xdr:row>
      <xdr:rowOff>137160</xdr:rowOff>
    </xdr:from>
    <xdr:to>
      <xdr:col>11</xdr:col>
      <xdr:colOff>548640</xdr:colOff>
      <xdr:row>30</xdr:row>
      <xdr:rowOff>38100</xdr:rowOff>
    </xdr:to>
    <xdr:graphicFrame macro="">
      <xdr:nvGraphicFramePr>
        <xdr:cNvPr id="24" name="Chart 23">
          <a:extLst>
            <a:ext uri="{FF2B5EF4-FFF2-40B4-BE49-F238E27FC236}">
              <a16:creationId xmlns:a16="http://schemas.microsoft.com/office/drawing/2014/main" id="{47C72562-1203-4BDB-8F1C-E558F047EA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594360</xdr:colOff>
      <xdr:row>7</xdr:row>
      <xdr:rowOff>91440</xdr:rowOff>
    </xdr:from>
    <xdr:to>
      <xdr:col>15</xdr:col>
      <xdr:colOff>106680</xdr:colOff>
      <xdr:row>10</xdr:row>
      <xdr:rowOff>106680</xdr:rowOff>
    </xdr:to>
    <xdr:sp macro="" textlink="'Pivot table'!$A$66">
      <xdr:nvSpPr>
        <xdr:cNvPr id="25" name="TextBox 24">
          <a:extLst>
            <a:ext uri="{FF2B5EF4-FFF2-40B4-BE49-F238E27FC236}">
              <a16:creationId xmlns:a16="http://schemas.microsoft.com/office/drawing/2014/main" id="{515FDE8F-C548-40B0-904D-D7B69B8F3AF6}"/>
            </a:ext>
          </a:extLst>
        </xdr:cNvPr>
        <xdr:cNvSpPr txBox="1"/>
      </xdr:nvSpPr>
      <xdr:spPr>
        <a:xfrm>
          <a:off x="7299960" y="1371600"/>
          <a:ext cx="1950720" cy="5638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D89D33D-2A0E-488E-885E-AAD64793C6CF}" type="TxLink">
            <a:rPr lang="en-US" sz="1200" b="1" i="0" u="none" strike="noStrike">
              <a:solidFill>
                <a:sysClr val="windowText" lastClr="000000"/>
              </a:solidFill>
              <a:latin typeface="Calibri"/>
              <a:ea typeface="Calibri"/>
              <a:cs typeface="Calibri"/>
            </a:rPr>
            <a:pPr algn="ctr"/>
            <a:t> £687,719.20 </a:t>
          </a:fld>
          <a:endParaRPr lang="en-US" sz="1200" b="1">
            <a:solidFill>
              <a:sysClr val="windowText" lastClr="00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60960</xdr:rowOff>
    </xdr:from>
    <xdr:to>
      <xdr:col>23</xdr:col>
      <xdr:colOff>121920</xdr:colOff>
      <xdr:row>32</xdr:row>
      <xdr:rowOff>121920</xdr:rowOff>
    </xdr:to>
    <xdr:sp macro="" textlink="">
      <xdr:nvSpPr>
        <xdr:cNvPr id="2" name="Rectangle 1">
          <a:extLst>
            <a:ext uri="{FF2B5EF4-FFF2-40B4-BE49-F238E27FC236}">
              <a16:creationId xmlns:a16="http://schemas.microsoft.com/office/drawing/2014/main" id="{DC9465A5-36D7-E638-BCF4-0EE60FCEA1FC}"/>
            </a:ext>
          </a:extLst>
        </xdr:cNvPr>
        <xdr:cNvSpPr/>
      </xdr:nvSpPr>
      <xdr:spPr>
        <a:xfrm>
          <a:off x="0" y="60960"/>
          <a:ext cx="14142720" cy="591312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45720</xdr:colOff>
      <xdr:row>0</xdr:row>
      <xdr:rowOff>60960</xdr:rowOff>
    </xdr:from>
    <xdr:to>
      <xdr:col>3</xdr:col>
      <xdr:colOff>60960</xdr:colOff>
      <xdr:row>32</xdr:row>
      <xdr:rowOff>38100</xdr:rowOff>
    </xdr:to>
    <xdr:sp macro="" textlink="">
      <xdr:nvSpPr>
        <xdr:cNvPr id="3" name="Rectangle 2">
          <a:extLst>
            <a:ext uri="{FF2B5EF4-FFF2-40B4-BE49-F238E27FC236}">
              <a16:creationId xmlns:a16="http://schemas.microsoft.com/office/drawing/2014/main" id="{04AF7034-0997-E548-3A4C-8DDD78A52C23}"/>
            </a:ext>
          </a:extLst>
        </xdr:cNvPr>
        <xdr:cNvSpPr/>
      </xdr:nvSpPr>
      <xdr:spPr>
        <a:xfrm>
          <a:off x="45720" y="60960"/>
          <a:ext cx="1844040" cy="582930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160020</xdr:colOff>
      <xdr:row>0</xdr:row>
      <xdr:rowOff>68580</xdr:rowOff>
    </xdr:from>
    <xdr:to>
      <xdr:col>23</xdr:col>
      <xdr:colOff>68580</xdr:colOff>
      <xdr:row>2</xdr:row>
      <xdr:rowOff>144780</xdr:rowOff>
    </xdr:to>
    <xdr:sp macro="" textlink="">
      <xdr:nvSpPr>
        <xdr:cNvPr id="4" name="Rectangle 3">
          <a:extLst>
            <a:ext uri="{FF2B5EF4-FFF2-40B4-BE49-F238E27FC236}">
              <a16:creationId xmlns:a16="http://schemas.microsoft.com/office/drawing/2014/main" id="{7E42A88F-94B0-2EB2-F2EE-C0953BCED6AA}"/>
            </a:ext>
          </a:extLst>
        </xdr:cNvPr>
        <xdr:cNvSpPr/>
      </xdr:nvSpPr>
      <xdr:spPr>
        <a:xfrm>
          <a:off x="1988820" y="68580"/>
          <a:ext cx="12100560" cy="441960"/>
        </a:xfrm>
        <a:prstGeom prst="rect">
          <a:avLst/>
        </a:prstGeom>
        <a:solidFill>
          <a:schemeClr val="accent3">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ysClr val="windowText" lastClr="000000"/>
              </a:solidFill>
            </a:rPr>
            <a:t>Fraud Risk &amp; Financial Crime Exposure Across UK Banks(2015-2024)</a:t>
          </a:r>
        </a:p>
      </xdr:txBody>
    </xdr:sp>
    <xdr:clientData/>
  </xdr:twoCellAnchor>
  <xdr:twoCellAnchor>
    <xdr:from>
      <xdr:col>3</xdr:col>
      <xdr:colOff>175260</xdr:colOff>
      <xdr:row>18</xdr:row>
      <xdr:rowOff>30480</xdr:rowOff>
    </xdr:from>
    <xdr:to>
      <xdr:col>10</xdr:col>
      <xdr:colOff>0</xdr:colOff>
      <xdr:row>32</xdr:row>
      <xdr:rowOff>30480</xdr:rowOff>
    </xdr:to>
    <xdr:sp macro="" textlink="">
      <xdr:nvSpPr>
        <xdr:cNvPr id="5" name="Rectangle 4">
          <a:extLst>
            <a:ext uri="{FF2B5EF4-FFF2-40B4-BE49-F238E27FC236}">
              <a16:creationId xmlns:a16="http://schemas.microsoft.com/office/drawing/2014/main" id="{55CE77C8-2DA1-7ABE-D86F-FADBE83CCF81}"/>
            </a:ext>
          </a:extLst>
        </xdr:cNvPr>
        <xdr:cNvSpPr/>
      </xdr:nvSpPr>
      <xdr:spPr>
        <a:xfrm>
          <a:off x="2004060" y="3322320"/>
          <a:ext cx="4091940" cy="256032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167640</xdr:colOff>
      <xdr:row>3</xdr:row>
      <xdr:rowOff>83820</xdr:rowOff>
    </xdr:from>
    <xdr:to>
      <xdr:col>13</xdr:col>
      <xdr:colOff>15240</xdr:colOff>
      <xdr:row>17</xdr:row>
      <xdr:rowOff>83820</xdr:rowOff>
    </xdr:to>
    <xdr:sp macro="" textlink="">
      <xdr:nvSpPr>
        <xdr:cNvPr id="6" name="Rectangle 5">
          <a:extLst>
            <a:ext uri="{FF2B5EF4-FFF2-40B4-BE49-F238E27FC236}">
              <a16:creationId xmlns:a16="http://schemas.microsoft.com/office/drawing/2014/main" id="{838031B4-8F8D-40A0-BE8E-CCA55E0CE3DF}"/>
            </a:ext>
          </a:extLst>
        </xdr:cNvPr>
        <xdr:cNvSpPr/>
      </xdr:nvSpPr>
      <xdr:spPr>
        <a:xfrm>
          <a:off x="1996440" y="632460"/>
          <a:ext cx="5943600" cy="256032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152400</xdr:colOff>
      <xdr:row>3</xdr:row>
      <xdr:rowOff>83820</xdr:rowOff>
    </xdr:from>
    <xdr:to>
      <xdr:col>16</xdr:col>
      <xdr:colOff>213360</xdr:colOff>
      <xdr:row>10</xdr:row>
      <xdr:rowOff>7620</xdr:rowOff>
    </xdr:to>
    <xdr:sp macro="" textlink="">
      <xdr:nvSpPr>
        <xdr:cNvPr id="9" name="Rectangle: Rounded Corners 8">
          <a:extLst>
            <a:ext uri="{FF2B5EF4-FFF2-40B4-BE49-F238E27FC236}">
              <a16:creationId xmlns:a16="http://schemas.microsoft.com/office/drawing/2014/main" id="{0B21A756-2BA4-5702-EE27-A10FEA9D24F2}"/>
            </a:ext>
          </a:extLst>
        </xdr:cNvPr>
        <xdr:cNvSpPr/>
      </xdr:nvSpPr>
      <xdr:spPr>
        <a:xfrm>
          <a:off x="8077200" y="632460"/>
          <a:ext cx="1889760" cy="1203960"/>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304800</xdr:colOff>
      <xdr:row>3</xdr:row>
      <xdr:rowOff>83820</xdr:rowOff>
    </xdr:from>
    <xdr:to>
      <xdr:col>19</xdr:col>
      <xdr:colOff>457200</xdr:colOff>
      <xdr:row>10</xdr:row>
      <xdr:rowOff>7620</xdr:rowOff>
    </xdr:to>
    <xdr:sp macro="" textlink="">
      <xdr:nvSpPr>
        <xdr:cNvPr id="10" name="Rectangle: Rounded Corners 9">
          <a:extLst>
            <a:ext uri="{FF2B5EF4-FFF2-40B4-BE49-F238E27FC236}">
              <a16:creationId xmlns:a16="http://schemas.microsoft.com/office/drawing/2014/main" id="{2FD90728-CF19-4159-BDDD-D436D957C79A}"/>
            </a:ext>
          </a:extLst>
        </xdr:cNvPr>
        <xdr:cNvSpPr/>
      </xdr:nvSpPr>
      <xdr:spPr>
        <a:xfrm>
          <a:off x="10058400" y="632460"/>
          <a:ext cx="1981200" cy="1203960"/>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556260</xdr:colOff>
      <xdr:row>3</xdr:row>
      <xdr:rowOff>83820</xdr:rowOff>
    </xdr:from>
    <xdr:to>
      <xdr:col>23</xdr:col>
      <xdr:colOff>99060</xdr:colOff>
      <xdr:row>10</xdr:row>
      <xdr:rowOff>15240</xdr:rowOff>
    </xdr:to>
    <xdr:sp macro="" textlink="">
      <xdr:nvSpPr>
        <xdr:cNvPr id="11" name="Rectangle: Rounded Corners 10">
          <a:extLst>
            <a:ext uri="{FF2B5EF4-FFF2-40B4-BE49-F238E27FC236}">
              <a16:creationId xmlns:a16="http://schemas.microsoft.com/office/drawing/2014/main" id="{D062259B-861E-4F24-9049-E5F2A75E71CF}"/>
            </a:ext>
          </a:extLst>
        </xdr:cNvPr>
        <xdr:cNvSpPr/>
      </xdr:nvSpPr>
      <xdr:spPr>
        <a:xfrm>
          <a:off x="12138660" y="632460"/>
          <a:ext cx="1981200" cy="1211580"/>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190500</xdr:colOff>
      <xdr:row>18</xdr:row>
      <xdr:rowOff>68580</xdr:rowOff>
    </xdr:from>
    <xdr:to>
      <xdr:col>9</xdr:col>
      <xdr:colOff>601980</xdr:colOff>
      <xdr:row>31</xdr:row>
      <xdr:rowOff>175260</xdr:rowOff>
    </xdr:to>
    <xdr:graphicFrame macro="">
      <xdr:nvGraphicFramePr>
        <xdr:cNvPr id="13" name="Chart 12">
          <a:extLst>
            <a:ext uri="{FF2B5EF4-FFF2-40B4-BE49-F238E27FC236}">
              <a16:creationId xmlns:a16="http://schemas.microsoft.com/office/drawing/2014/main" id="{F393A532-7C9E-49D4-B1BB-88D601545B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53340</xdr:colOff>
      <xdr:row>14</xdr:row>
      <xdr:rowOff>30480</xdr:rowOff>
    </xdr:from>
    <xdr:to>
      <xdr:col>23</xdr:col>
      <xdr:colOff>114300</xdr:colOff>
      <xdr:row>32</xdr:row>
      <xdr:rowOff>30480</xdr:rowOff>
    </xdr:to>
    <xdr:sp macro="" textlink="">
      <xdr:nvSpPr>
        <xdr:cNvPr id="16" name="Rectangle 15">
          <a:extLst>
            <a:ext uri="{FF2B5EF4-FFF2-40B4-BE49-F238E27FC236}">
              <a16:creationId xmlns:a16="http://schemas.microsoft.com/office/drawing/2014/main" id="{1F3F6538-2C6B-41C2-BDFC-E51AB275CF37}"/>
            </a:ext>
          </a:extLst>
        </xdr:cNvPr>
        <xdr:cNvSpPr/>
      </xdr:nvSpPr>
      <xdr:spPr>
        <a:xfrm>
          <a:off x="10416540" y="2590800"/>
          <a:ext cx="3718560" cy="329184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106680</xdr:colOff>
      <xdr:row>18</xdr:row>
      <xdr:rowOff>30480</xdr:rowOff>
    </xdr:from>
    <xdr:to>
      <xdr:col>16</xdr:col>
      <xdr:colOff>586740</xdr:colOff>
      <xdr:row>32</xdr:row>
      <xdr:rowOff>30480</xdr:rowOff>
    </xdr:to>
    <xdr:sp macro="" textlink="">
      <xdr:nvSpPr>
        <xdr:cNvPr id="17" name="Rectangle 16">
          <a:extLst>
            <a:ext uri="{FF2B5EF4-FFF2-40B4-BE49-F238E27FC236}">
              <a16:creationId xmlns:a16="http://schemas.microsoft.com/office/drawing/2014/main" id="{3D9F2F1C-3437-403F-9B81-E2ED36E5B4AE}"/>
            </a:ext>
          </a:extLst>
        </xdr:cNvPr>
        <xdr:cNvSpPr/>
      </xdr:nvSpPr>
      <xdr:spPr>
        <a:xfrm>
          <a:off x="6202680" y="3322320"/>
          <a:ext cx="4137660" cy="256032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175260</xdr:colOff>
      <xdr:row>3</xdr:row>
      <xdr:rowOff>99060</xdr:rowOff>
    </xdr:from>
    <xdr:to>
      <xdr:col>12</xdr:col>
      <xdr:colOff>579120</xdr:colOff>
      <xdr:row>17</xdr:row>
      <xdr:rowOff>68580</xdr:rowOff>
    </xdr:to>
    <xdr:graphicFrame macro="">
      <xdr:nvGraphicFramePr>
        <xdr:cNvPr id="18" name="Chart 17">
          <a:extLst>
            <a:ext uri="{FF2B5EF4-FFF2-40B4-BE49-F238E27FC236}">
              <a16:creationId xmlns:a16="http://schemas.microsoft.com/office/drawing/2014/main" id="{1A41F71C-367E-4862-A705-5D4084C779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129540</xdr:colOff>
      <xdr:row>18</xdr:row>
      <xdr:rowOff>68580</xdr:rowOff>
    </xdr:from>
    <xdr:to>
      <xdr:col>16</xdr:col>
      <xdr:colOff>586740</xdr:colOff>
      <xdr:row>32</xdr:row>
      <xdr:rowOff>0</xdr:rowOff>
    </xdr:to>
    <xdr:graphicFrame macro="">
      <xdr:nvGraphicFramePr>
        <xdr:cNvPr id="19" name="Chart 18">
          <a:extLst>
            <a:ext uri="{FF2B5EF4-FFF2-40B4-BE49-F238E27FC236}">
              <a16:creationId xmlns:a16="http://schemas.microsoft.com/office/drawing/2014/main" id="{E3DA6D64-7960-4755-B87C-C4FF86062D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76200</xdr:colOff>
      <xdr:row>14</xdr:row>
      <xdr:rowOff>76200</xdr:rowOff>
    </xdr:from>
    <xdr:to>
      <xdr:col>23</xdr:col>
      <xdr:colOff>106680</xdr:colOff>
      <xdr:row>32</xdr:row>
      <xdr:rowOff>7620</xdr:rowOff>
    </xdr:to>
    <xdr:graphicFrame macro="">
      <xdr:nvGraphicFramePr>
        <xdr:cNvPr id="20" name="Chart 19">
          <a:extLst>
            <a:ext uri="{FF2B5EF4-FFF2-40B4-BE49-F238E27FC236}">
              <a16:creationId xmlns:a16="http://schemas.microsoft.com/office/drawing/2014/main" id="{76C7F7BF-D313-4710-ABDE-F2FC9FB4FD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175260</xdr:colOff>
      <xdr:row>3</xdr:row>
      <xdr:rowOff>175260</xdr:rowOff>
    </xdr:from>
    <xdr:to>
      <xdr:col>16</xdr:col>
      <xdr:colOff>175260</xdr:colOff>
      <xdr:row>6</xdr:row>
      <xdr:rowOff>152400</xdr:rowOff>
    </xdr:to>
    <xdr:sp macro="" textlink="">
      <xdr:nvSpPr>
        <xdr:cNvPr id="21" name="TextBox 20">
          <a:extLst>
            <a:ext uri="{FF2B5EF4-FFF2-40B4-BE49-F238E27FC236}">
              <a16:creationId xmlns:a16="http://schemas.microsoft.com/office/drawing/2014/main" id="{C20D62BF-7B71-6267-0D7D-CF6C72A365B2}"/>
            </a:ext>
          </a:extLst>
        </xdr:cNvPr>
        <xdr:cNvSpPr txBox="1"/>
      </xdr:nvSpPr>
      <xdr:spPr>
        <a:xfrm>
          <a:off x="8100060" y="723900"/>
          <a:ext cx="1828800" cy="525780"/>
        </a:xfrm>
        <a:prstGeom prst="roundRect">
          <a:avLst>
            <a:gd name="adj" fmla="val 31160"/>
          </a:avLst>
        </a:prstGeom>
        <a:solidFill>
          <a:schemeClr val="accent3">
            <a:lumMod val="60000"/>
            <a:lumOff val="40000"/>
          </a:schemeClr>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ysClr val="windowText" lastClr="000000"/>
              </a:solidFill>
            </a:rPr>
            <a:t>Total Fraud Loss</a:t>
          </a:r>
        </a:p>
      </xdr:txBody>
    </xdr:sp>
    <xdr:clientData/>
  </xdr:twoCellAnchor>
  <xdr:twoCellAnchor>
    <xdr:from>
      <xdr:col>13</xdr:col>
      <xdr:colOff>144780</xdr:colOff>
      <xdr:row>7</xdr:row>
      <xdr:rowOff>22860</xdr:rowOff>
    </xdr:from>
    <xdr:to>
      <xdr:col>16</xdr:col>
      <xdr:colOff>144780</xdr:colOff>
      <xdr:row>10</xdr:row>
      <xdr:rowOff>0</xdr:rowOff>
    </xdr:to>
    <xdr:sp macro="" textlink="'Pivot table'!$A$97">
      <xdr:nvSpPr>
        <xdr:cNvPr id="22" name="TextBox 21">
          <a:extLst>
            <a:ext uri="{FF2B5EF4-FFF2-40B4-BE49-F238E27FC236}">
              <a16:creationId xmlns:a16="http://schemas.microsoft.com/office/drawing/2014/main" id="{5B345BB8-94E5-4D42-A4A2-3B821B1F2EFA}"/>
            </a:ext>
          </a:extLst>
        </xdr:cNvPr>
        <xdr:cNvSpPr txBox="1"/>
      </xdr:nvSpPr>
      <xdr:spPr>
        <a:xfrm>
          <a:off x="8069580" y="1303020"/>
          <a:ext cx="1828800" cy="5257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162D7C5-3D7A-4444-9EF0-BF49FE389637}" type="TxLink">
            <a:rPr lang="en-US" sz="1400" b="1" i="0" u="none" strike="noStrike">
              <a:solidFill>
                <a:sysClr val="windowText" lastClr="000000"/>
              </a:solidFill>
              <a:latin typeface="Calibri"/>
              <a:ea typeface="Calibri"/>
              <a:cs typeface="Calibri"/>
            </a:rPr>
            <a:pPr algn="ctr"/>
            <a:t> £66,028.10 </a:t>
          </a:fld>
          <a:endParaRPr lang="en-US" sz="1400" b="1">
            <a:solidFill>
              <a:sysClr val="windowText" lastClr="000000"/>
            </a:solidFill>
          </a:endParaRPr>
        </a:p>
      </xdr:txBody>
    </xdr:sp>
    <xdr:clientData/>
  </xdr:twoCellAnchor>
  <xdr:twoCellAnchor>
    <xdr:from>
      <xdr:col>16</xdr:col>
      <xdr:colOff>350520</xdr:colOff>
      <xdr:row>6</xdr:row>
      <xdr:rowOff>152400</xdr:rowOff>
    </xdr:from>
    <xdr:to>
      <xdr:col>19</xdr:col>
      <xdr:colOff>426720</xdr:colOff>
      <xdr:row>9</xdr:row>
      <xdr:rowOff>129540</xdr:rowOff>
    </xdr:to>
    <xdr:sp macro="" textlink="'Pivot table'!$B$97">
      <xdr:nvSpPr>
        <xdr:cNvPr id="23" name="TextBox 22">
          <a:extLst>
            <a:ext uri="{FF2B5EF4-FFF2-40B4-BE49-F238E27FC236}">
              <a16:creationId xmlns:a16="http://schemas.microsoft.com/office/drawing/2014/main" id="{C2ED0548-01F9-4EAC-9955-A5317DD554F8}"/>
            </a:ext>
          </a:extLst>
        </xdr:cNvPr>
        <xdr:cNvSpPr txBox="1"/>
      </xdr:nvSpPr>
      <xdr:spPr>
        <a:xfrm>
          <a:off x="10104120" y="1249680"/>
          <a:ext cx="1905000" cy="5257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39A9AB8-65F1-4561-886C-BC417880CF87}" type="TxLink">
            <a:rPr lang="en-US" sz="1400" b="1" i="0" u="none" strike="noStrike">
              <a:solidFill>
                <a:sysClr val="windowText" lastClr="000000"/>
              </a:solidFill>
              <a:latin typeface="Calibri"/>
              <a:ea typeface="Calibri"/>
              <a:cs typeface="Calibri"/>
            </a:rPr>
            <a:pPr algn="ctr"/>
            <a:t>2,102</a:t>
          </a:fld>
          <a:endParaRPr lang="en-US" sz="1400" b="1">
            <a:solidFill>
              <a:sysClr val="windowText" lastClr="000000"/>
            </a:solidFill>
          </a:endParaRPr>
        </a:p>
      </xdr:txBody>
    </xdr:sp>
    <xdr:clientData/>
  </xdr:twoCellAnchor>
  <xdr:twoCellAnchor>
    <xdr:from>
      <xdr:col>16</xdr:col>
      <xdr:colOff>342900</xdr:colOff>
      <xdr:row>3</xdr:row>
      <xdr:rowOff>167640</xdr:rowOff>
    </xdr:from>
    <xdr:to>
      <xdr:col>19</xdr:col>
      <xdr:colOff>426720</xdr:colOff>
      <xdr:row>6</xdr:row>
      <xdr:rowOff>144780</xdr:rowOff>
    </xdr:to>
    <xdr:sp macro="" textlink="">
      <xdr:nvSpPr>
        <xdr:cNvPr id="24" name="TextBox 23">
          <a:extLst>
            <a:ext uri="{FF2B5EF4-FFF2-40B4-BE49-F238E27FC236}">
              <a16:creationId xmlns:a16="http://schemas.microsoft.com/office/drawing/2014/main" id="{373FB295-47F4-4105-9038-B9F7B0A140DE}"/>
            </a:ext>
          </a:extLst>
        </xdr:cNvPr>
        <xdr:cNvSpPr txBox="1"/>
      </xdr:nvSpPr>
      <xdr:spPr>
        <a:xfrm>
          <a:off x="10096500" y="716280"/>
          <a:ext cx="1912620" cy="525780"/>
        </a:xfrm>
        <a:prstGeom prst="roundRect">
          <a:avLst>
            <a:gd name="adj" fmla="val 19566"/>
          </a:avLst>
        </a:prstGeom>
        <a:solidFill>
          <a:schemeClr val="accent3">
            <a:lumMod val="60000"/>
            <a:lumOff val="40000"/>
          </a:schemeClr>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ysClr val="windowText" lastClr="000000"/>
              </a:solidFill>
            </a:rPr>
            <a:t>Avg</a:t>
          </a:r>
          <a:r>
            <a:rPr lang="en-US" sz="1400" b="1" baseline="0">
              <a:solidFill>
                <a:sysClr val="windowText" lastClr="000000"/>
              </a:solidFill>
            </a:rPr>
            <a:t> Sup. Transcation</a:t>
          </a:r>
          <a:endParaRPr lang="en-US" sz="1400" b="1">
            <a:solidFill>
              <a:sysClr val="windowText" lastClr="000000"/>
            </a:solidFill>
          </a:endParaRPr>
        </a:p>
      </xdr:txBody>
    </xdr:sp>
    <xdr:clientData/>
  </xdr:twoCellAnchor>
  <xdr:twoCellAnchor>
    <xdr:from>
      <xdr:col>20</xdr:col>
      <xdr:colOff>0</xdr:colOff>
      <xdr:row>6</xdr:row>
      <xdr:rowOff>167640</xdr:rowOff>
    </xdr:from>
    <xdr:to>
      <xdr:col>23</xdr:col>
      <xdr:colOff>68580</xdr:colOff>
      <xdr:row>9</xdr:row>
      <xdr:rowOff>144780</xdr:rowOff>
    </xdr:to>
    <xdr:sp macro="" textlink="'Pivot table'!$C$97">
      <xdr:nvSpPr>
        <xdr:cNvPr id="25" name="TextBox 24">
          <a:extLst>
            <a:ext uri="{FF2B5EF4-FFF2-40B4-BE49-F238E27FC236}">
              <a16:creationId xmlns:a16="http://schemas.microsoft.com/office/drawing/2014/main" id="{DCC22F40-C21A-480B-989D-54821EB1FEF0}"/>
            </a:ext>
          </a:extLst>
        </xdr:cNvPr>
        <xdr:cNvSpPr txBox="1"/>
      </xdr:nvSpPr>
      <xdr:spPr>
        <a:xfrm>
          <a:off x="12192000" y="1264920"/>
          <a:ext cx="1897380" cy="5257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99714ED-EF5F-4246-B319-F80884625642}" type="TxLink">
            <a:rPr lang="en-US" sz="1400" b="1" i="0" u="none" strike="noStrike">
              <a:solidFill>
                <a:sysClr val="windowText" lastClr="000000"/>
              </a:solidFill>
              <a:latin typeface="Calibri"/>
              <a:ea typeface="Calibri"/>
              <a:cs typeface="Calibri"/>
            </a:rPr>
            <a:pPr algn="ctr"/>
            <a:t>79.10%</a:t>
          </a:fld>
          <a:endParaRPr lang="en-US" sz="1400" b="1">
            <a:solidFill>
              <a:sysClr val="windowText" lastClr="000000"/>
            </a:solidFill>
          </a:endParaRPr>
        </a:p>
      </xdr:txBody>
    </xdr:sp>
    <xdr:clientData/>
  </xdr:twoCellAnchor>
  <xdr:twoCellAnchor>
    <xdr:from>
      <xdr:col>19</xdr:col>
      <xdr:colOff>601980</xdr:colOff>
      <xdr:row>3</xdr:row>
      <xdr:rowOff>160020</xdr:rowOff>
    </xdr:from>
    <xdr:to>
      <xdr:col>23</xdr:col>
      <xdr:colOff>68580</xdr:colOff>
      <xdr:row>6</xdr:row>
      <xdr:rowOff>160020</xdr:rowOff>
    </xdr:to>
    <xdr:sp macro="" textlink="">
      <xdr:nvSpPr>
        <xdr:cNvPr id="26" name="TextBox 25">
          <a:extLst>
            <a:ext uri="{FF2B5EF4-FFF2-40B4-BE49-F238E27FC236}">
              <a16:creationId xmlns:a16="http://schemas.microsoft.com/office/drawing/2014/main" id="{BA0AFEC6-86AA-40B9-B266-DAE07224CF46}"/>
            </a:ext>
          </a:extLst>
        </xdr:cNvPr>
        <xdr:cNvSpPr txBox="1"/>
      </xdr:nvSpPr>
      <xdr:spPr>
        <a:xfrm>
          <a:off x="12184380" y="708660"/>
          <a:ext cx="1905000" cy="548640"/>
        </a:xfrm>
        <a:prstGeom prst="roundRect">
          <a:avLst>
            <a:gd name="adj" fmla="val 12500"/>
          </a:avLst>
        </a:prstGeom>
        <a:solidFill>
          <a:schemeClr val="accent3">
            <a:lumMod val="60000"/>
            <a:lumOff val="40000"/>
          </a:schemeClr>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ysClr val="windowText" lastClr="000000"/>
              </a:solidFill>
            </a:rPr>
            <a:t>Max</a:t>
          </a:r>
          <a:r>
            <a:rPr lang="en-US" sz="1400" b="1" baseline="0">
              <a:solidFill>
                <a:sysClr val="windowText" lastClr="000000"/>
              </a:solidFill>
            </a:rPr>
            <a:t> Fraud loss Ratio </a:t>
          </a:r>
          <a:endParaRPr lang="en-US" sz="1400" b="1">
            <a:solidFill>
              <a:sysClr val="windowText" lastClr="000000"/>
            </a:solidFill>
          </a:endParaRPr>
        </a:p>
      </xdr:txBody>
    </xdr:sp>
    <xdr:clientData/>
  </xdr:twoCellAnchor>
  <xdr:twoCellAnchor editAs="oneCell">
    <xdr:from>
      <xdr:col>0</xdr:col>
      <xdr:colOff>60960</xdr:colOff>
      <xdr:row>14</xdr:row>
      <xdr:rowOff>83820</xdr:rowOff>
    </xdr:from>
    <xdr:to>
      <xdr:col>3</xdr:col>
      <xdr:colOff>53340</xdr:colOff>
      <xdr:row>31</xdr:row>
      <xdr:rowOff>129540</xdr:rowOff>
    </xdr:to>
    <mc:AlternateContent xmlns:mc="http://schemas.openxmlformats.org/markup-compatibility/2006" xmlns:a14="http://schemas.microsoft.com/office/drawing/2010/main">
      <mc:Choice Requires="a14">
        <xdr:graphicFrame macro="">
          <xdr:nvGraphicFramePr>
            <xdr:cNvPr id="27" name="Year 2">
              <a:extLst>
                <a:ext uri="{FF2B5EF4-FFF2-40B4-BE49-F238E27FC236}">
                  <a16:creationId xmlns:a16="http://schemas.microsoft.com/office/drawing/2014/main" id="{2DCC27F5-AF39-432B-A355-B7F234C1E4C2}"/>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60960" y="2644140"/>
              <a:ext cx="1821180" cy="3154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0</xdr:row>
      <xdr:rowOff>175260</xdr:rowOff>
    </xdr:from>
    <xdr:to>
      <xdr:col>3</xdr:col>
      <xdr:colOff>68580</xdr:colOff>
      <xdr:row>7</xdr:row>
      <xdr:rowOff>121919</xdr:rowOff>
    </xdr:to>
    <mc:AlternateContent xmlns:mc="http://schemas.openxmlformats.org/markup-compatibility/2006" xmlns:a14="http://schemas.microsoft.com/office/drawing/2010/main">
      <mc:Choice Requires="a14">
        <xdr:graphicFrame macro="">
          <xdr:nvGraphicFramePr>
            <xdr:cNvPr id="28" name="Risk_Rating 2">
              <a:extLst>
                <a:ext uri="{FF2B5EF4-FFF2-40B4-BE49-F238E27FC236}">
                  <a16:creationId xmlns:a16="http://schemas.microsoft.com/office/drawing/2014/main" id="{5D75578E-3650-46A4-96C1-38FF44FE0A03}"/>
                </a:ext>
              </a:extLst>
            </xdr:cNvPr>
            <xdr:cNvGraphicFramePr/>
          </xdr:nvGraphicFramePr>
          <xdr:xfrm>
            <a:off x="0" y="0"/>
            <a:ext cx="0" cy="0"/>
          </xdr:xfrm>
          <a:graphic>
            <a:graphicData uri="http://schemas.microsoft.com/office/drawing/2010/slicer">
              <sle:slicer xmlns:sle="http://schemas.microsoft.com/office/drawing/2010/slicer" name="Risk_Rating 2"/>
            </a:graphicData>
          </a:graphic>
        </xdr:graphicFrame>
      </mc:Choice>
      <mc:Fallback xmlns="">
        <xdr:sp macro="" textlink="">
          <xdr:nvSpPr>
            <xdr:cNvPr id="0" name=""/>
            <xdr:cNvSpPr>
              <a:spLocks noTextEdit="1"/>
            </xdr:cNvSpPr>
          </xdr:nvSpPr>
          <xdr:spPr>
            <a:xfrm>
              <a:off x="53340" y="175260"/>
              <a:ext cx="1844040" cy="12268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8</xdr:row>
      <xdr:rowOff>53340</xdr:rowOff>
    </xdr:from>
    <xdr:to>
      <xdr:col>3</xdr:col>
      <xdr:colOff>60960</xdr:colOff>
      <xdr:row>13</xdr:row>
      <xdr:rowOff>152400</xdr:rowOff>
    </xdr:to>
    <mc:AlternateContent xmlns:mc="http://schemas.openxmlformats.org/markup-compatibility/2006" xmlns:a14="http://schemas.microsoft.com/office/drawing/2010/main">
      <mc:Choice Requires="a14">
        <xdr:graphicFrame macro="">
          <xdr:nvGraphicFramePr>
            <xdr:cNvPr id="29" name="Bank_Type 2">
              <a:extLst>
                <a:ext uri="{FF2B5EF4-FFF2-40B4-BE49-F238E27FC236}">
                  <a16:creationId xmlns:a16="http://schemas.microsoft.com/office/drawing/2014/main" id="{EADC4A1B-B497-4C65-88AD-746AC95650AD}"/>
                </a:ext>
              </a:extLst>
            </xdr:cNvPr>
            <xdr:cNvGraphicFramePr/>
          </xdr:nvGraphicFramePr>
          <xdr:xfrm>
            <a:off x="0" y="0"/>
            <a:ext cx="0" cy="0"/>
          </xdr:xfrm>
          <a:graphic>
            <a:graphicData uri="http://schemas.microsoft.com/office/drawing/2010/slicer">
              <sle:slicer xmlns:sle="http://schemas.microsoft.com/office/drawing/2010/slicer" name="Bank_Type 2"/>
            </a:graphicData>
          </a:graphic>
        </xdr:graphicFrame>
      </mc:Choice>
      <mc:Fallback xmlns="">
        <xdr:sp macro="" textlink="">
          <xdr:nvSpPr>
            <xdr:cNvPr id="0" name=""/>
            <xdr:cNvSpPr>
              <a:spLocks noTextEdit="1"/>
            </xdr:cNvSpPr>
          </xdr:nvSpPr>
          <xdr:spPr>
            <a:xfrm>
              <a:off x="53340" y="1516380"/>
              <a:ext cx="1836420" cy="10134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220980</xdr:colOff>
      <xdr:row>8</xdr:row>
      <xdr:rowOff>148590</xdr:rowOff>
    </xdr:from>
    <xdr:to>
      <xdr:col>11</xdr:col>
      <xdr:colOff>312420</xdr:colOff>
      <xdr:row>23</xdr:row>
      <xdr:rowOff>148590</xdr:rowOff>
    </xdr:to>
    <xdr:graphicFrame macro="">
      <xdr:nvGraphicFramePr>
        <xdr:cNvPr id="2" name="Chart 1">
          <a:extLst>
            <a:ext uri="{FF2B5EF4-FFF2-40B4-BE49-F238E27FC236}">
              <a16:creationId xmlns:a16="http://schemas.microsoft.com/office/drawing/2014/main" id="{0E34FD26-9D26-55A0-C28A-EFB97DE14D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32.807783564815" createdVersion="8" refreshedVersion="8" minRefreshableVersion="3" recordCount="200" xr:uid="{42664F71-B020-483D-AC14-F09E8A10886B}">
  <cacheSource type="worksheet">
    <worksheetSource name="Table1"/>
  </cacheSource>
  <cacheFields count="17">
    <cacheField name="Institution_ID" numFmtId="0">
      <sharedItems/>
    </cacheField>
    <cacheField name="Bank_Name" numFmtId="0">
      <sharedItems count="20">
        <s v="HSBC UK"/>
        <s v="Barclays PLC"/>
        <s v="Lloyds Banking Grp"/>
        <s v="NatWest Group"/>
        <s v="Santander UK"/>
        <s v="Standard Chartered"/>
        <s v="Nationwide Bldg Soc"/>
        <s v="Metro Bank"/>
        <s v="Virgin Money UK"/>
        <s v="Tesco Bank"/>
        <s v="TSB Bank"/>
        <s v="Close Brothers"/>
        <s v="Paragon Bank"/>
        <s v="Aldermore Bank"/>
        <s v="Coventry Bldg Soc"/>
        <s v="Skipton Bldg Soc"/>
        <s v="Atom Bank"/>
        <s v="Monzo Bank"/>
        <s v="Starling Bank"/>
        <s v="Revolut UK"/>
      </sharedItems>
    </cacheField>
    <cacheField name="Bank_Type" numFmtId="0">
      <sharedItems count="2">
        <s v="Traditional"/>
        <s v="Digital"/>
      </sharedItems>
    </cacheField>
    <cacheField name="Year" numFmtId="0">
      <sharedItems containsSemiMixedTypes="0" containsString="0" containsNumber="1" containsInteger="1" minValue="2015" maxValue="2024" count="10">
        <n v="2015"/>
        <n v="2016"/>
        <n v="2017"/>
        <n v="2018"/>
        <n v="2019"/>
        <n v="2020"/>
        <n v="2021"/>
        <n v="2022"/>
        <n v="2023"/>
        <n v="2024"/>
      </sharedItems>
    </cacheField>
    <cacheField name="Total_Revenue (£m)" numFmtId="164">
      <sharedItems containsSemiMixedTypes="0" containsString="0" containsNumber="1" minValue="579.51" maxValue="24997.74"/>
    </cacheField>
    <cacheField name="Interest_Income (£m)" numFmtId="164">
      <sharedItems containsSemiMixedTypes="0" containsString="0" containsNumber="1" minValue="574.41" maxValue="17945.63"/>
    </cacheField>
    <cacheField name="Operating_Expenses (£m)" numFmtId="164">
      <sharedItems containsSemiMixedTypes="0" containsString="0" containsNumber="1" minValue="322.68" maxValue="19894.169999999998"/>
    </cacheField>
    <cacheField name="Net_Profit (£m)" numFmtId="164">
      <sharedItems containsSemiMixedTypes="0" containsString="0" containsNumber="1" minValue="-1942.85" maxValue="8957.34"/>
    </cacheField>
    <cacheField name="Reported_Fraud_Losses (£m)" numFmtId="164">
      <sharedItems containsSemiMixedTypes="0" containsString="0" containsNumber="1" minValue="8.08" maxValue="599.99"/>
    </cacheField>
    <cacheField name="Suspicious_Transactions" numFmtId="3">
      <sharedItems containsSemiMixedTypes="0" containsString="0" containsNumber="1" containsInteger="1" minValue="0" maxValue="8950"/>
    </cacheField>
    <cacheField name="Customer_Complaints" numFmtId="3">
      <sharedItems containsSemiMixedTypes="0" containsString="0" containsNumber="1" containsInteger="1" minValue="0" maxValue="2993"/>
    </cacheField>
    <cacheField name="Risk_Rating" numFmtId="0">
      <sharedItems count="3">
        <s v="Low"/>
        <s v="High"/>
        <s v="Medium"/>
      </sharedItems>
    </cacheField>
    <cacheField name="Data_Quality_Flag" numFmtId="0">
      <sharedItems/>
    </cacheField>
    <cacheField name="Cost to income ratio " numFmtId="10">
      <sharedItems containsSemiMixedTypes="0" containsString="0" containsNumber="1" minValue="1.4876689175949998" maxValue="2498.2675018550153"/>
    </cacheField>
    <cacheField name="interest income dependency" numFmtId="10">
      <sharedItems containsSemiMixedTypes="0" containsString="0" containsNumber="1" minValue="3.2718639717677252E-2" maxValue="23.729139332390478"/>
    </cacheField>
    <cacheField name="Fraud_loss_ratio" numFmtId="10">
      <sharedItems containsSemiMixedTypes="0" containsString="0" containsNumber="1" minValue="5.681295359088143E-4" maxValue="0.79096132939897501"/>
    </cacheField>
    <cacheField name="profit margin" numFmtId="10">
      <sharedItems containsSemiMixedTypes="0" containsString="0" containsNumber="1" minValue="-1.2361616522252585" maxValue="14.99675587996756"/>
    </cacheField>
  </cacheFields>
  <extLst>
    <ext xmlns:x14="http://schemas.microsoft.com/office/spreadsheetml/2009/9/main" uri="{725AE2AE-9491-48be-B2B4-4EB974FC3084}">
      <x14:pivotCacheDefinition pivotCacheId="9802550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UKFI-100001"/>
    <x v="0"/>
    <x v="0"/>
    <x v="0"/>
    <n v="7238.22"/>
    <n v="4173.1499999999996"/>
    <n v="14808.48"/>
    <n v="5443.69"/>
    <n v="535.85"/>
    <n v="1524"/>
    <n v="180"/>
    <x v="0"/>
    <s v="OK"/>
    <n v="204.58731566600625"/>
    <n v="0.57654368062866279"/>
    <n v="7.4030631840424854E-2"/>
    <n v="0.75207578658841534"/>
  </r>
  <r>
    <s v="UKFI-100002"/>
    <x v="0"/>
    <x v="0"/>
    <x v="1"/>
    <n v="14250.5"/>
    <n v="12945.15"/>
    <n v="14116.1"/>
    <n v="2614.7199999999998"/>
    <n v="272.27999999999997"/>
    <n v="0"/>
    <n v="0"/>
    <x v="1"/>
    <s v="Missing"/>
    <n v="99.056875197361492"/>
    <n v="0.90839970527349911"/>
    <n v="1.9106698010596116E-2"/>
    <n v="0.18348268481807656"/>
  </r>
  <r>
    <s v="UKFI-100003"/>
    <x v="0"/>
    <x v="0"/>
    <x v="2"/>
    <n v="8746.57"/>
    <n v="1850.88"/>
    <n v="2205.31"/>
    <n v="7322.44"/>
    <n v="364.22"/>
    <n v="811"/>
    <n v="2246"/>
    <x v="1"/>
    <s v="OK"/>
    <n v="25.213426520338828"/>
    <n v="0.21161209479830381"/>
    <n v="4.1641466311937138E-2"/>
    <n v="0.83717845967047655"/>
  </r>
  <r>
    <s v="UKFI-100004"/>
    <x v="0"/>
    <x v="0"/>
    <x v="3"/>
    <n v="15653.73"/>
    <n v="15538.38"/>
    <n v="11673.84"/>
    <n v="5750.29"/>
    <n v="32.270000000000003"/>
    <n v="3833"/>
    <n v="376"/>
    <x v="0"/>
    <s v="Missing"/>
    <n v="74.575452623751659"/>
    <n v="0.99263114925324503"/>
    <n v="2.0614894980301823E-3"/>
    <n v="0.36734311886048887"/>
  </r>
  <r>
    <s v="UKFI-100005"/>
    <x v="0"/>
    <x v="0"/>
    <x v="4"/>
    <n v="9438.39"/>
    <n v="6789.22"/>
    <n v="4427.29"/>
    <n v="936.76"/>
    <n v="562.30999999999995"/>
    <n v="0"/>
    <n v="2237"/>
    <x v="2"/>
    <s v="Missing"/>
    <n v="46.907258547273422"/>
    <n v="0.7193197144852036"/>
    <n v="5.9576898178608853E-2"/>
    <n v="9.9249978015318291E-2"/>
  </r>
  <r>
    <s v="UKFI-100006"/>
    <x v="0"/>
    <x v="0"/>
    <x v="5"/>
    <n v="16179.99"/>
    <n v="10113.709999999999"/>
    <n v="13786.9"/>
    <n v="7271.37"/>
    <n v="466.72"/>
    <n v="0"/>
    <n v="0"/>
    <x v="1"/>
    <s v="OK"/>
    <n v="85.209570586879224"/>
    <n v="0.62507517000937574"/>
    <n v="2.884550608498522E-2"/>
    <n v="0.4494050985198384"/>
  </r>
  <r>
    <s v="UKFI-100007"/>
    <x v="0"/>
    <x v="0"/>
    <x v="6"/>
    <n v="21971.01"/>
    <n v="5801.27"/>
    <n v="13212.14"/>
    <n v="2351.9499999999998"/>
    <n v="549.16"/>
    <n v="0"/>
    <n v="1134"/>
    <x v="2"/>
    <s v="Review"/>
    <n v="60.134422586854221"/>
    <n v="0.26404202628827717"/>
    <n v="2.4994754451433957E-2"/>
    <n v="0.10704787809026531"/>
  </r>
  <r>
    <s v="UKFI-100008"/>
    <x v="0"/>
    <x v="0"/>
    <x v="7"/>
    <n v="14822.36"/>
    <n v="16181.25"/>
    <n v="8168.19"/>
    <n v="412.53"/>
    <n v="598.53"/>
    <n v="8448"/>
    <n v="422"/>
    <x v="0"/>
    <s v="OK"/>
    <n v="55.107216394690184"/>
    <n v="1.0916783831994366"/>
    <n v="4.0380209359373267E-2"/>
    <n v="2.7831600365933629E-2"/>
  </r>
  <r>
    <s v="UKFI-100009"/>
    <x v="0"/>
    <x v="0"/>
    <x v="8"/>
    <n v="10842.92"/>
    <n v="1330.79"/>
    <n v="7817.9"/>
    <n v="8957.34"/>
    <n v="319.82"/>
    <n v="0"/>
    <n v="0"/>
    <x v="1"/>
    <s v="OK"/>
    <n v="72.101426552994937"/>
    <n v="0.1227335441006666"/>
    <n v="2.9495744688700091E-2"/>
    <n v="0.82610034935238852"/>
  </r>
  <r>
    <s v="UKFI-100010"/>
    <x v="0"/>
    <x v="0"/>
    <x v="9"/>
    <n v="579.51"/>
    <n v="13053.24"/>
    <n v="14477.71"/>
    <n v="8690.77"/>
    <n v="458.37"/>
    <n v="0"/>
    <n v="0"/>
    <x v="0"/>
    <s v="Review"/>
    <n v="2498.2675018550153"/>
    <n v="22.52461562354403"/>
    <n v="0.79096132939897501"/>
    <n v="14.99675587996756"/>
  </r>
  <r>
    <s v="UKFI-100011"/>
    <x v="1"/>
    <x v="0"/>
    <x v="0"/>
    <n v="4457.95"/>
    <n v="17172.3"/>
    <n v="18471.95"/>
    <n v="8103.43"/>
    <n v="361.37"/>
    <n v="0"/>
    <n v="0"/>
    <x v="1"/>
    <s v="OK"/>
    <n v="414.35973934207431"/>
    <n v="3.8520620464563309"/>
    <n v="8.10619230812369E-2"/>
    <n v="1.8177480680581883"/>
  </r>
  <r>
    <s v="UKFI-100012"/>
    <x v="1"/>
    <x v="0"/>
    <x v="1"/>
    <n v="23700.26"/>
    <n v="1724.63"/>
    <n v="9874.01"/>
    <n v="-1238.6600000000001"/>
    <n v="457.56"/>
    <n v="0"/>
    <n v="0"/>
    <x v="0"/>
    <s v="OK"/>
    <n v="41.662032399644566"/>
    <n v="7.2768400009113832E-2"/>
    <n v="1.9306117316856442E-2"/>
    <n v="-5.2263561665568233E-2"/>
  </r>
  <r>
    <s v="UKFI-100013"/>
    <x v="1"/>
    <x v="0"/>
    <x v="2"/>
    <n v="10866.88"/>
    <n v="3970.01"/>
    <n v="10924.13"/>
    <n v="6029.24"/>
    <n v="124.68"/>
    <n v="5207"/>
    <n v="0"/>
    <x v="1"/>
    <s v="Review"/>
    <n v="100.52683014811979"/>
    <n v="0.36533117141258581"/>
    <n v="1.1473394387349452E-2"/>
    <n v="0.5548271444977767"/>
  </r>
  <r>
    <s v="UKFI-100014"/>
    <x v="1"/>
    <x v="0"/>
    <x v="3"/>
    <n v="2068.63"/>
    <n v="574.41"/>
    <n v="11212.25"/>
    <n v="4472.84"/>
    <n v="9.2799999999999994"/>
    <n v="0"/>
    <n v="326"/>
    <x v="1"/>
    <s v="OK"/>
    <n v="542.0133131589505"/>
    <n v="0.27767652987726171"/>
    <n v="4.4860608228634406E-3"/>
    <n v="2.1622233072129862"/>
  </r>
  <r>
    <s v="UKFI-100015"/>
    <x v="1"/>
    <x v="0"/>
    <x v="4"/>
    <n v="12392.66"/>
    <n v="9798.36"/>
    <n v="14550.05"/>
    <n v="7706.21"/>
    <n v="347.85"/>
    <n v="4081"/>
    <n v="1717"/>
    <x v="0"/>
    <s v="OK"/>
    <n v="117.40861122632266"/>
    <n v="0.79065834130848422"/>
    <n v="2.8069034412305349E-2"/>
    <n v="0.62183663555685387"/>
  </r>
  <r>
    <s v="UKFI-100016"/>
    <x v="1"/>
    <x v="0"/>
    <x v="5"/>
    <n v="10572.01"/>
    <n v="15576.29"/>
    <n v="1367.17"/>
    <n v="5188.01"/>
    <n v="389.48"/>
    <n v="1093"/>
    <n v="1439"/>
    <x v="2"/>
    <s v="OK"/>
    <n v="12.931977930403018"/>
    <n v="1.4733518034886459"/>
    <n v="3.6840676465497102E-2"/>
    <n v="0.49073071251351447"/>
  </r>
  <r>
    <s v="UKFI-100017"/>
    <x v="1"/>
    <x v="0"/>
    <x v="6"/>
    <n v="10836.1"/>
    <n v="5158.1000000000004"/>
    <n v="5221.1899999999996"/>
    <n v="8155.92"/>
    <n v="268.66000000000003"/>
    <n v="0"/>
    <n v="2721"/>
    <x v="0"/>
    <s v="OK"/>
    <n v="48.183294727807969"/>
    <n v="0.47601074187207576"/>
    <n v="2.4793052851118023E-2"/>
    <n v="0.75266193556722438"/>
  </r>
  <r>
    <s v="UKFI-100018"/>
    <x v="1"/>
    <x v="0"/>
    <x v="7"/>
    <n v="5736.81"/>
    <n v="7338.52"/>
    <n v="1455.12"/>
    <n v="2168.6999999999998"/>
    <n v="591.26"/>
    <n v="4445"/>
    <n v="0"/>
    <x v="0"/>
    <s v="Review"/>
    <n v="25.36461901300548"/>
    <n v="1.2791987184515436"/>
    <n v="0.10306424650633365"/>
    <n v="0.37803239082347151"/>
  </r>
  <r>
    <s v="UKFI-100019"/>
    <x v="1"/>
    <x v="0"/>
    <x v="8"/>
    <n v="7769.34"/>
    <n v="17443.03"/>
    <n v="11709.85"/>
    <n v="3964.15"/>
    <n v="450.05"/>
    <n v="0"/>
    <n v="0"/>
    <x v="0"/>
    <s v="Review"/>
    <n v="150.71872256845498"/>
    <n v="2.2451109103218547"/>
    <n v="5.7926413311812842E-2"/>
    <n v="0.51022995518280834"/>
  </r>
  <r>
    <s v="UKFI-100020"/>
    <x v="1"/>
    <x v="0"/>
    <x v="9"/>
    <n v="2462.73"/>
    <n v="3507.68"/>
    <n v="12022.19"/>
    <n v="5427.34"/>
    <n v="144.94999999999999"/>
    <n v="0"/>
    <n v="2421"/>
    <x v="0"/>
    <s v="OK"/>
    <n v="488.16516629918834"/>
    <n v="1.4243055470961088"/>
    <n v="5.8857446817150071E-2"/>
    <n v="2.2037901028533375"/>
  </r>
  <r>
    <s v="UKFI-100021"/>
    <x v="2"/>
    <x v="0"/>
    <x v="0"/>
    <n v="13308.18"/>
    <n v="16837.77"/>
    <n v="4323.91"/>
    <n v="5878.11"/>
    <n v="147.02000000000001"/>
    <n v="0"/>
    <n v="0"/>
    <x v="1"/>
    <s v="Missing"/>
    <n v="32.490618551898152"/>
    <n v="1.2652195867504046"/>
    <n v="1.1047340808435113E-2"/>
    <n v="0.44169150101666793"/>
  </r>
  <r>
    <s v="UKFI-100022"/>
    <x v="2"/>
    <x v="0"/>
    <x v="1"/>
    <n v="728.23"/>
    <n v="11256.63"/>
    <n v="11390.97"/>
    <n v="-900.21"/>
    <n v="324.89"/>
    <n v="8388"/>
    <n v="0"/>
    <x v="0"/>
    <s v="OK"/>
    <n v="1564.1994974115319"/>
    <n v="15.457520288919708"/>
    <n v="0.446136522801862"/>
    <n v="-1.2361616522252585"/>
  </r>
  <r>
    <s v="UKFI-100023"/>
    <x v="2"/>
    <x v="0"/>
    <x v="2"/>
    <n v="20926.75"/>
    <n v="12723.01"/>
    <n v="12350.05"/>
    <n v="8859.56"/>
    <n v="394.12"/>
    <n v="228"/>
    <n v="2767"/>
    <x v="2"/>
    <s v="Missing"/>
    <n v="59.015613986882812"/>
    <n v="0.60797830527912844"/>
    <n v="1.8833311431540972E-2"/>
    <n v="0.42336053137730412"/>
  </r>
  <r>
    <s v="UKFI-100024"/>
    <x v="2"/>
    <x v="0"/>
    <x v="3"/>
    <n v="14053.98"/>
    <n v="5047.8"/>
    <n v="12215.15"/>
    <n v="5893.73"/>
    <n v="126.14"/>
    <n v="4425"/>
    <n v="1078"/>
    <x v="0"/>
    <s v="Review"/>
    <n v="86.915948364804834"/>
    <n v="0.35917227717699901"/>
    <n v="8.9753934472654728E-3"/>
    <n v="0.41936376741677445"/>
  </r>
  <r>
    <s v="UKFI-100025"/>
    <x v="2"/>
    <x v="0"/>
    <x v="4"/>
    <n v="586.87"/>
    <n v="13925.92"/>
    <n v="12851.13"/>
    <n v="881.51"/>
    <n v="446.03"/>
    <n v="0"/>
    <n v="508"/>
    <x v="2"/>
    <s v="Review"/>
    <n v="2189.7745667694717"/>
    <n v="23.729139332390478"/>
    <n v="0.76001499480293755"/>
    <n v="1.502053265629526"/>
  </r>
  <r>
    <s v="UKFI-100026"/>
    <x v="2"/>
    <x v="0"/>
    <x v="5"/>
    <n v="14036.86"/>
    <n v="7850.2"/>
    <n v="1124.03"/>
    <n v="2011.17"/>
    <n v="560.19000000000005"/>
    <n v="753"/>
    <n v="910"/>
    <x v="0"/>
    <s v="Missing"/>
    <n v="8.007702577357044"/>
    <n v="0.55925612993219276"/>
    <n v="3.990849805440818E-2"/>
    <n v="0.14327777009958068"/>
  </r>
  <r>
    <s v="UKFI-100027"/>
    <x v="2"/>
    <x v="0"/>
    <x v="6"/>
    <n v="10456.25"/>
    <n v="11247.77"/>
    <n v="3344.7"/>
    <n v="8228.69"/>
    <n v="519.44000000000005"/>
    <n v="3000"/>
    <n v="151"/>
    <x v="1"/>
    <s v="Missing"/>
    <n v="31.987567244471009"/>
    <n v="1.0756982665869697"/>
    <n v="4.9677465630603712E-2"/>
    <n v="0.78696377764494929"/>
  </r>
  <r>
    <s v="UKFI-100028"/>
    <x v="2"/>
    <x v="0"/>
    <x v="7"/>
    <n v="20363.36"/>
    <n v="4949.1400000000003"/>
    <n v="15811.28"/>
    <n v="-810.95"/>
    <n v="523.94000000000005"/>
    <n v="0"/>
    <n v="0"/>
    <x v="1"/>
    <s v="Missing"/>
    <n v="77.645732334938828"/>
    <n v="0.24304142341931784"/>
    <n v="2.5729545615261924E-2"/>
    <n v="-3.9823977968272431E-2"/>
  </r>
  <r>
    <s v="UKFI-100029"/>
    <x v="2"/>
    <x v="0"/>
    <x v="8"/>
    <n v="5961.63"/>
    <n v="11948.59"/>
    <n v="8149.78"/>
    <n v="1064.6300000000001"/>
    <n v="46.31"/>
    <n v="4673"/>
    <n v="0"/>
    <x v="0"/>
    <s v="Missing"/>
    <n v="136.70388803062249"/>
    <n v="2.0042488379855845"/>
    <n v="7.7680097557211707E-3"/>
    <n v="0.1785803547016504"/>
  </r>
  <r>
    <s v="UKFI-100030"/>
    <x v="2"/>
    <x v="0"/>
    <x v="9"/>
    <n v="24274.81"/>
    <n v="3378.51"/>
    <n v="19261.93"/>
    <n v="920.13"/>
    <n v="69.5"/>
    <n v="7219"/>
    <n v="0"/>
    <x v="0"/>
    <s v="Review"/>
    <n v="79.349457318100519"/>
    <n v="0.13917760839322738"/>
    <n v="2.8630502154290806E-3"/>
    <n v="3.7904725103924598E-2"/>
  </r>
  <r>
    <s v="UKFI-100031"/>
    <x v="3"/>
    <x v="0"/>
    <x v="0"/>
    <n v="5156.93"/>
    <n v="990.08"/>
    <n v="8890.33"/>
    <n v="3719.12"/>
    <n v="484.87"/>
    <n v="3328"/>
    <n v="1816"/>
    <x v="1"/>
    <s v="Review"/>
    <n v="172.39578586484595"/>
    <n v="0.19199019571721934"/>
    <n v="9.4022994300872798E-2"/>
    <n v="0.72118876928715336"/>
  </r>
  <r>
    <s v="UKFI-100032"/>
    <x v="3"/>
    <x v="0"/>
    <x v="1"/>
    <n v="18133.98"/>
    <n v="5545.74"/>
    <n v="6392.91"/>
    <n v="2492.3200000000002"/>
    <n v="244.43"/>
    <n v="0"/>
    <n v="0"/>
    <x v="1"/>
    <s v="Review"/>
    <n v="35.253761171017061"/>
    <n v="0.30582034390685331"/>
    <n v="1.3479114899211315E-2"/>
    <n v="0.13743921632206499"/>
  </r>
  <r>
    <s v="UKFI-100033"/>
    <x v="3"/>
    <x v="0"/>
    <x v="2"/>
    <n v="14443.08"/>
    <n v="7428.14"/>
    <n v="16724.39"/>
    <n v="1342.62"/>
    <n v="130.06"/>
    <n v="5379"/>
    <n v="0"/>
    <x v="2"/>
    <s v="Review"/>
    <n v="115.79517665207145"/>
    <n v="0.51430442814136601"/>
    <n v="9.005004472730194E-3"/>
    <n v="9.2959396472220596E-2"/>
  </r>
  <r>
    <s v="UKFI-100034"/>
    <x v="3"/>
    <x v="0"/>
    <x v="3"/>
    <n v="20002.61"/>
    <n v="3220.51"/>
    <n v="1970.47"/>
    <n v="3669.97"/>
    <n v="381.6"/>
    <n v="0"/>
    <n v="0"/>
    <x v="2"/>
    <s v="OK"/>
    <n v="9.8510644360910895"/>
    <n v="0.16100448891419669"/>
    <n v="1.9077510384894771E-2"/>
    <n v="0.18347455657036754"/>
  </r>
  <r>
    <s v="UKFI-100035"/>
    <x v="3"/>
    <x v="0"/>
    <x v="4"/>
    <n v="24606.43"/>
    <n v="11080.68"/>
    <n v="15439.24"/>
    <n v="3009.58"/>
    <n v="532.25"/>
    <n v="3285"/>
    <n v="0"/>
    <x v="2"/>
    <s v="OK"/>
    <n v="62.744737859169334"/>
    <n v="0.45031644167804918"/>
    <n v="2.1630525029433363E-2"/>
    <n v="0.12230868110489819"/>
  </r>
  <r>
    <s v="UKFI-100036"/>
    <x v="3"/>
    <x v="0"/>
    <x v="5"/>
    <n v="18898.63"/>
    <n v="13906.82"/>
    <n v="2399.77"/>
    <n v="2676.61"/>
    <n v="109.65"/>
    <n v="8586"/>
    <n v="255"/>
    <x v="0"/>
    <s v="Missing"/>
    <n v="12.698116212656686"/>
    <n v="0.73586392241130705"/>
    <n v="5.802007870411771E-3"/>
    <n v="0.14162984300978432"/>
  </r>
  <r>
    <s v="UKFI-100037"/>
    <x v="3"/>
    <x v="0"/>
    <x v="6"/>
    <n v="13512.73"/>
    <n v="10148.870000000001"/>
    <n v="6550.77"/>
    <n v="6307.75"/>
    <n v="268.33"/>
    <n v="8370"/>
    <n v="0"/>
    <x v="2"/>
    <s v="Review"/>
    <n v="48.478508783939297"/>
    <n v="0.7510599264545359"/>
    <n v="1.9857571341986409E-2"/>
    <n v="0.46680056509676432"/>
  </r>
  <r>
    <s v="UKFI-100038"/>
    <x v="3"/>
    <x v="0"/>
    <x v="7"/>
    <n v="18918.53"/>
    <n v="15149.56"/>
    <n v="5763.03"/>
    <n v="6554.42"/>
    <n v="293.33999999999997"/>
    <n v="4019"/>
    <n v="1851"/>
    <x v="1"/>
    <s v="OK"/>
    <n v="30.462356219008559"/>
    <n v="0.80077891886948938"/>
    <n v="1.5505433033116208E-2"/>
    <n v="0.34645503641139141"/>
  </r>
  <r>
    <s v="UKFI-100039"/>
    <x v="3"/>
    <x v="0"/>
    <x v="8"/>
    <n v="13733.73"/>
    <n v="2663.06"/>
    <n v="4855.8500000000004"/>
    <n v="5633.45"/>
    <n v="425.32"/>
    <n v="1152"/>
    <n v="0"/>
    <x v="0"/>
    <s v="Missing"/>
    <n v="35.357109831050998"/>
    <n v="0.19390653522386125"/>
    <n v="3.0969008419417011E-2"/>
    <n v="0.41019082215829206"/>
  </r>
  <r>
    <s v="UKFI-100040"/>
    <x v="3"/>
    <x v="0"/>
    <x v="9"/>
    <n v="10793.52"/>
    <n v="16306.12"/>
    <n v="11806.36"/>
    <n v="5650.75"/>
    <n v="514.76"/>
    <n v="6332"/>
    <n v="0"/>
    <x v="1"/>
    <s v="Missing"/>
    <n v="109.38377841519727"/>
    <n v="1.510732365345133"/>
    <n v="4.7691577909708786E-2"/>
    <n v="0.52353171161956435"/>
  </r>
  <r>
    <s v="UKFI-100041"/>
    <x v="4"/>
    <x v="0"/>
    <x v="0"/>
    <n v="10766.02"/>
    <n v="13505.78"/>
    <n v="11058.81"/>
    <n v="4635.78"/>
    <n v="136.22"/>
    <n v="3695"/>
    <n v="0"/>
    <x v="0"/>
    <s v="Missing"/>
    <n v="102.71957510760707"/>
    <n v="1.2544821577518896"/>
    <n v="1.2652772333694344E-2"/>
    <n v="0.43059366413957983"/>
  </r>
  <r>
    <s v="UKFI-100042"/>
    <x v="4"/>
    <x v="0"/>
    <x v="1"/>
    <n v="10405.76"/>
    <n v="3137.8"/>
    <n v="9507.59"/>
    <n v="-596.09"/>
    <n v="375.24"/>
    <n v="541"/>
    <n v="2474"/>
    <x v="0"/>
    <s v="Review"/>
    <n v="91.368530506181187"/>
    <n v="0.30154452918383667"/>
    <n v="3.6060797096992434E-2"/>
    <n v="-5.728461928777908E-2"/>
  </r>
  <r>
    <s v="UKFI-100043"/>
    <x v="4"/>
    <x v="0"/>
    <x v="2"/>
    <n v="4952.3599999999997"/>
    <n v="4830.78"/>
    <n v="6748.85"/>
    <n v="3001.69"/>
    <n v="205.81"/>
    <n v="6311"/>
    <n v="0"/>
    <x v="0"/>
    <s v="Missing"/>
    <n v="136.27543231913674"/>
    <n v="0.97545008844268188"/>
    <n v="4.1557964283695049E-2"/>
    <n v="0.60611304509365238"/>
  </r>
  <r>
    <s v="UKFI-100044"/>
    <x v="4"/>
    <x v="0"/>
    <x v="3"/>
    <n v="24997.74"/>
    <n v="6429.29"/>
    <n v="13107.84"/>
    <n v="6593.56"/>
    <n v="392.79"/>
    <n v="0"/>
    <n v="866"/>
    <x v="0"/>
    <s v="OK"/>
    <n v="52.436100223460201"/>
    <n v="0.25719485041447743"/>
    <n v="1.5713020457049316E-2"/>
    <n v="0.26376624446849994"/>
  </r>
  <r>
    <s v="UKFI-100045"/>
    <x v="4"/>
    <x v="0"/>
    <x v="4"/>
    <n v="3302.54"/>
    <n v="17070.07"/>
    <n v="9461.17"/>
    <n v="818.68"/>
    <n v="224.49"/>
    <n v="0"/>
    <n v="1324"/>
    <x v="0"/>
    <s v="OK"/>
    <n v="286.48161717950427"/>
    <n v="5.1687700981668652"/>
    <n v="6.7974952612231798E-2"/>
    <n v="0.24789404518946023"/>
  </r>
  <r>
    <s v="UKFI-100046"/>
    <x v="4"/>
    <x v="0"/>
    <x v="5"/>
    <n v="22746.639999999999"/>
    <n v="6880.46"/>
    <n v="18846.97"/>
    <n v="181.63"/>
    <n v="357.3"/>
    <n v="0"/>
    <n v="0"/>
    <x v="0"/>
    <s v="OK"/>
    <n v="82.856061378735504"/>
    <n v="0.30248247653279781"/>
    <n v="1.5707814428856305E-2"/>
    <n v="7.9849155743441664E-3"/>
  </r>
  <r>
    <s v="UKFI-100047"/>
    <x v="4"/>
    <x v="0"/>
    <x v="6"/>
    <n v="1506.19"/>
    <n v="9682.8700000000008"/>
    <n v="13331.97"/>
    <n v="-1241.48"/>
    <n v="390.29"/>
    <n v="307"/>
    <n v="2057"/>
    <x v="1"/>
    <s v="Missing"/>
    <n v="885.14530039370845"/>
    <n v="6.4287174924810282"/>
    <n v="0.25912401489851877"/>
    <n v="-0.82425192040844775"/>
  </r>
  <r>
    <s v="UKFI-100048"/>
    <x v="4"/>
    <x v="0"/>
    <x v="7"/>
    <n v="17829.060000000001"/>
    <n v="7951.67"/>
    <n v="14755.77"/>
    <n v="8620.2099999999991"/>
    <n v="165.7"/>
    <n v="8917"/>
    <n v="0"/>
    <x v="0"/>
    <s v="Missing"/>
    <n v="82.762467566994559"/>
    <n v="0.44599490943437287"/>
    <n v="9.2938158265214194E-3"/>
    <n v="0.48349211904609657"/>
  </r>
  <r>
    <s v="UKFI-100049"/>
    <x v="4"/>
    <x v="0"/>
    <x v="8"/>
    <n v="23398.240000000002"/>
    <n v="5164.92"/>
    <n v="9180.7999999999993"/>
    <n v="6255.24"/>
    <n v="344.06"/>
    <n v="6309"/>
    <n v="0"/>
    <x v="1"/>
    <s v="OK"/>
    <n v="39.237139203632402"/>
    <n v="0.22073967956564253"/>
    <n v="1.4704524784770136E-2"/>
    <n v="0.26733805619567963"/>
  </r>
  <r>
    <s v="UKFI-100050"/>
    <x v="4"/>
    <x v="0"/>
    <x v="9"/>
    <n v="6829.63"/>
    <n v="5177.92"/>
    <n v="12044.25"/>
    <n v="7681.18"/>
    <n v="335.7"/>
    <n v="0"/>
    <n v="400"/>
    <x v="1"/>
    <s v="Missing"/>
    <n v="176.35289173791259"/>
    <n v="0.75815527341891142"/>
    <n v="4.9153468050245765E-2"/>
    <n v="1.1246846461667763"/>
  </r>
  <r>
    <s v="UKFI-100051"/>
    <x v="5"/>
    <x v="0"/>
    <x v="0"/>
    <n v="12164.28"/>
    <n v="12870.79"/>
    <n v="9129.0400000000009"/>
    <n v="-1810.32"/>
    <n v="180.07"/>
    <n v="0"/>
    <n v="0"/>
    <x v="1"/>
    <s v="Review"/>
    <n v="75.04792720983076"/>
    <n v="1.05808070843486"/>
    <n v="1.480317782885629E-2"/>
    <n v="-0.14882261835472382"/>
  </r>
  <r>
    <s v="UKFI-100052"/>
    <x v="5"/>
    <x v="0"/>
    <x v="1"/>
    <n v="18775.419999999998"/>
    <n v="6088.09"/>
    <n v="14146.24"/>
    <n v="980.08"/>
    <n v="154.59"/>
    <n v="0"/>
    <n v="1342"/>
    <x v="0"/>
    <s v="Review"/>
    <n v="75.344466328849109"/>
    <n v="0.32425852524204524"/>
    <n v="8.2336373833448214E-3"/>
    <n v="5.2200163831221891E-2"/>
  </r>
  <r>
    <s v="UKFI-100053"/>
    <x v="5"/>
    <x v="0"/>
    <x v="2"/>
    <n v="12362.87"/>
    <n v="13097.61"/>
    <n v="19539.16"/>
    <n v="3771.01"/>
    <n v="173.38"/>
    <n v="0"/>
    <n v="1263"/>
    <x v="1"/>
    <s v="OK"/>
    <n v="158.04712012663725"/>
    <n v="1.0594311838594113"/>
    <n v="1.4024251650304499E-2"/>
    <n v="0.30502706895728904"/>
  </r>
  <r>
    <s v="UKFI-100054"/>
    <x v="5"/>
    <x v="0"/>
    <x v="3"/>
    <n v="3601.28"/>
    <n v="1010.18"/>
    <n v="1374.16"/>
    <n v="1213.5"/>
    <n v="566.73"/>
    <n v="0"/>
    <n v="0"/>
    <x v="1"/>
    <s v="Missing"/>
    <n v="38.157543984361112"/>
    <n v="0.28050582015283454"/>
    <n v="0.15736904656122266"/>
    <n v="0.33696352408032698"/>
  </r>
  <r>
    <s v="UKFI-100055"/>
    <x v="5"/>
    <x v="0"/>
    <x v="4"/>
    <n v="1758.73"/>
    <n v="16950.93"/>
    <n v="9711.26"/>
    <n v="7043.27"/>
    <n v="243.42"/>
    <n v="0"/>
    <n v="671"/>
    <x v="0"/>
    <s v="Missing"/>
    <n v="552.17458052117149"/>
    <n v="9.6381650395455818"/>
    <n v="0.13840669119193963"/>
    <n v="4.0047477441108077"/>
  </r>
  <r>
    <s v="UKFI-100056"/>
    <x v="5"/>
    <x v="0"/>
    <x v="5"/>
    <n v="14172.79"/>
    <n v="7607.9"/>
    <n v="12043.7"/>
    <n v="4802.6000000000004"/>
    <n v="466.54"/>
    <n v="6332"/>
    <n v="0"/>
    <x v="0"/>
    <s v="Missing"/>
    <n v="84.977622613472718"/>
    <n v="0.5367962130250995"/>
    <n v="3.2918006969693332E-2"/>
    <n v="0.33886059131617696"/>
  </r>
  <r>
    <s v="UKFI-100057"/>
    <x v="5"/>
    <x v="0"/>
    <x v="6"/>
    <n v="15435.96"/>
    <n v="13373.59"/>
    <n v="18967.53"/>
    <n v="285.67"/>
    <n v="130.56"/>
    <n v="0"/>
    <n v="1032"/>
    <x v="0"/>
    <s v="OK"/>
    <n v="122.87884912891715"/>
    <n v="0.86639185382703765"/>
    <n v="8.4581716977758428E-3"/>
    <n v="1.8506785454225072E-2"/>
  </r>
  <r>
    <s v="UKFI-100058"/>
    <x v="5"/>
    <x v="0"/>
    <x v="7"/>
    <n v="17389.59"/>
    <n v="8564.44"/>
    <n v="943.01"/>
    <n v="1169.1500000000001"/>
    <n v="173.22"/>
    <n v="0"/>
    <n v="2865"/>
    <x v="1"/>
    <s v="Review"/>
    <n v="5.4228420566557345"/>
    <n v="0.49250384856687252"/>
    <n v="9.9611319185788742E-3"/>
    <n v="6.7232752468574589E-2"/>
  </r>
  <r>
    <s v="UKFI-100059"/>
    <x v="5"/>
    <x v="0"/>
    <x v="8"/>
    <n v="5346.57"/>
    <n v="2243.02"/>
    <n v="4728.75"/>
    <n v="-361.12"/>
    <n v="163.05000000000001"/>
    <n v="0"/>
    <n v="294"/>
    <x v="1"/>
    <s v="Review"/>
    <n v="88.444554172114081"/>
    <n v="0.41952504128815299"/>
    <n v="3.0496187275206352E-2"/>
    <n v="-6.7542368284713383E-2"/>
  </r>
  <r>
    <s v="UKFI-100060"/>
    <x v="5"/>
    <x v="0"/>
    <x v="9"/>
    <n v="7570.96"/>
    <n v="2413.5"/>
    <n v="13866.96"/>
    <n v="5697.07"/>
    <n v="565.89"/>
    <n v="8299"/>
    <n v="1843"/>
    <x v="0"/>
    <s v="OK"/>
    <n v="183.15986347834354"/>
    <n v="0.31878387945518138"/>
    <n v="7.4744814396060733E-2"/>
    <n v="0.75248977672580486"/>
  </r>
  <r>
    <s v="UKFI-100061"/>
    <x v="6"/>
    <x v="0"/>
    <x v="0"/>
    <n v="15290.98"/>
    <n v="660.4"/>
    <n v="4809.8100000000004"/>
    <n v="5417.28"/>
    <n v="517.01"/>
    <n v="439"/>
    <n v="2410"/>
    <x v="2"/>
    <s v="Missing"/>
    <n v="31.455210849795112"/>
    <n v="4.318886036081402E-2"/>
    <n v="3.3811436546251447E-2"/>
    <n v="0.35427945102275982"/>
  </r>
  <r>
    <s v="UKFI-100062"/>
    <x v="6"/>
    <x v="0"/>
    <x v="1"/>
    <n v="7314.84"/>
    <n v="17945.63"/>
    <n v="8886.93"/>
    <n v="6956.69"/>
    <n v="581.59"/>
    <n v="7800"/>
    <n v="0"/>
    <x v="1"/>
    <s v="Review"/>
    <n v="121.49178929409257"/>
    <n v="2.4533181860437141"/>
    <n v="7.9508232579249855E-2"/>
    <n v="0.95103789009739104"/>
  </r>
  <r>
    <s v="UKFI-100063"/>
    <x v="6"/>
    <x v="0"/>
    <x v="2"/>
    <n v="10585.3"/>
    <n v="9019.35"/>
    <n v="13352.9"/>
    <n v="2404.9699999999998"/>
    <n v="457.5"/>
    <n v="701"/>
    <n v="0"/>
    <x v="1"/>
    <s v="Missing"/>
    <n v="126.14569261145175"/>
    <n v="0.85206371099543721"/>
    <n v="4.3220314965093105E-2"/>
    <n v="0.22719904017836054"/>
  </r>
  <r>
    <s v="UKFI-100064"/>
    <x v="6"/>
    <x v="0"/>
    <x v="3"/>
    <n v="21690.31"/>
    <n v="14883.7"/>
    <n v="322.68"/>
    <n v="7563.04"/>
    <n v="279.88"/>
    <n v="0"/>
    <n v="0"/>
    <x v="0"/>
    <s v="Missing"/>
    <n v="1.4876689175949998"/>
    <n v="0.68619120704130088"/>
    <n v="1.290345781134525E-2"/>
    <n v="0.34868289111589457"/>
  </r>
  <r>
    <s v="UKFI-100065"/>
    <x v="6"/>
    <x v="0"/>
    <x v="4"/>
    <n v="5487.18"/>
    <n v="9976.11"/>
    <n v="18575.150000000001"/>
    <n v="2819.28"/>
    <n v="420.46"/>
    <n v="0"/>
    <n v="2630"/>
    <x v="2"/>
    <s v="Missing"/>
    <n v="338.51905714775165"/>
    <n v="1.8180759515816867"/>
    <n v="7.662588068917002E-2"/>
    <n v="0.51379397067346066"/>
  </r>
  <r>
    <s v="UKFI-100066"/>
    <x v="6"/>
    <x v="0"/>
    <x v="5"/>
    <n v="2783.63"/>
    <n v="17862.18"/>
    <n v="18284.72"/>
    <n v="3075.93"/>
    <n v="74.89"/>
    <n v="2622"/>
    <n v="0"/>
    <x v="0"/>
    <s v="Review"/>
    <n v="656.86603463822428"/>
    <n v="6.4168657472437065"/>
    <n v="2.6903719244296118E-2"/>
    <n v="1.1050067717333121"/>
  </r>
  <r>
    <s v="UKFI-100067"/>
    <x v="6"/>
    <x v="0"/>
    <x v="6"/>
    <n v="24515.99"/>
    <n v="4538.41"/>
    <n v="11159.92"/>
    <n v="2219.4499999999998"/>
    <n v="553.51"/>
    <n v="0"/>
    <n v="0"/>
    <x v="1"/>
    <s v="Missing"/>
    <n v="45.52098446768823"/>
    <n v="0.18512040509071834"/>
    <n v="2.2577509617192695E-2"/>
    <n v="9.0530710772846607E-2"/>
  </r>
  <r>
    <s v="UKFI-100068"/>
    <x v="6"/>
    <x v="0"/>
    <x v="7"/>
    <n v="20603.46"/>
    <n v="5234.53"/>
    <n v="6181.55"/>
    <n v="4456.3100000000004"/>
    <n v="599.35"/>
    <n v="0"/>
    <n v="0"/>
    <x v="1"/>
    <s v="Missing"/>
    <n v="30.002485019506437"/>
    <n v="0.25406072572276694"/>
    <n v="2.9089774241802108E-2"/>
    <n v="0.21628939993573898"/>
  </r>
  <r>
    <s v="UKFI-100069"/>
    <x v="6"/>
    <x v="0"/>
    <x v="8"/>
    <n v="11655.94"/>
    <n v="5927.64"/>
    <n v="4016.45"/>
    <n v="5672.48"/>
    <n v="345.22"/>
    <n v="3926"/>
    <n v="0"/>
    <x v="1"/>
    <s v="Review"/>
    <n v="34.45839631981633"/>
    <n v="0.50855100489535809"/>
    <n v="2.9617516905543442E-2"/>
    <n v="0.48666002055604263"/>
  </r>
  <r>
    <s v="UKFI-100070"/>
    <x v="6"/>
    <x v="0"/>
    <x v="9"/>
    <n v="24716.14"/>
    <n v="14304.61"/>
    <n v="13144.77"/>
    <n v="-326.83999999999997"/>
    <n v="579.07000000000005"/>
    <n v="2168"/>
    <n v="0"/>
    <x v="0"/>
    <s v="Review"/>
    <n v="53.182940378230583"/>
    <n v="0.57875582514098078"/>
    <n v="2.3428820196033848E-2"/>
    <n v="-1.3223747721124737E-2"/>
  </r>
  <r>
    <s v="UKFI-100071"/>
    <x v="7"/>
    <x v="0"/>
    <x v="0"/>
    <n v="4031.81"/>
    <n v="15702.61"/>
    <n v="19408.150000000001"/>
    <n v="-1176.8900000000001"/>
    <n v="470.01"/>
    <n v="4442"/>
    <n v="0"/>
    <x v="0"/>
    <s v="Missing"/>
    <n v="481.37561045783411"/>
    <n v="3.8946800568479172"/>
    <n v="0.11657543386221077"/>
    <n v="-0.291901156056461"/>
  </r>
  <r>
    <s v="UKFI-100072"/>
    <x v="7"/>
    <x v="0"/>
    <x v="1"/>
    <n v="9810.23"/>
    <n v="5836.57"/>
    <n v="14458.73"/>
    <n v="6353.42"/>
    <n v="524.07000000000005"/>
    <n v="0"/>
    <n v="0"/>
    <x v="2"/>
    <s v="Review"/>
    <n v="147.38421015613295"/>
    <n v="0.59494731520056099"/>
    <n v="5.3420765873990729E-2"/>
    <n v="0.64763211463951409"/>
  </r>
  <r>
    <s v="UKFI-100073"/>
    <x v="7"/>
    <x v="0"/>
    <x v="2"/>
    <n v="19129.060000000001"/>
    <n v="12729.26"/>
    <n v="2279.9899999999998"/>
    <n v="-169.99"/>
    <n v="183.18"/>
    <n v="0"/>
    <n v="1378"/>
    <x v="1"/>
    <s v="Missing"/>
    <n v="11.918986087136533"/>
    <n v="0.66544095737061826"/>
    <n v="9.5760063484562237E-3"/>
    <n v="-8.8864795238239626E-3"/>
  </r>
  <r>
    <s v="UKFI-100074"/>
    <x v="7"/>
    <x v="0"/>
    <x v="3"/>
    <n v="13513.57"/>
    <n v="10273.52"/>
    <n v="15912.63"/>
    <n v="-130.18"/>
    <n v="51.99"/>
    <n v="0"/>
    <n v="2088"/>
    <x v="2"/>
    <s v="Missing"/>
    <n v="117.75296979258627"/>
    <n v="0.76023730220807684"/>
    <n v="3.8472439185204209E-3"/>
    <n v="-9.6332797328907167E-3"/>
  </r>
  <r>
    <s v="UKFI-100075"/>
    <x v="7"/>
    <x v="0"/>
    <x v="4"/>
    <n v="16837.599999999999"/>
    <n v="16200.57"/>
    <n v="9465.49"/>
    <n v="1163.95"/>
    <n v="330.23"/>
    <n v="1310"/>
    <n v="0"/>
    <x v="1"/>
    <s v="Review"/>
    <n v="56.216384757922746"/>
    <n v="0.96216622321471001"/>
    <n v="1.9612652634579755E-2"/>
    <n v="6.9128022996151478E-2"/>
  </r>
  <r>
    <s v="UKFI-100076"/>
    <x v="7"/>
    <x v="0"/>
    <x v="5"/>
    <n v="5380.82"/>
    <n v="7047.54"/>
    <n v="9819.2000000000007"/>
    <n v="609.26"/>
    <n v="345.29"/>
    <n v="4947"/>
    <n v="0"/>
    <x v="1"/>
    <s v="OK"/>
    <n v="182.48519742344106"/>
    <n v="1.3097520452273075"/>
    <n v="6.4170516761385812E-2"/>
    <n v="0.1132280953460625"/>
  </r>
  <r>
    <s v="UKFI-100077"/>
    <x v="7"/>
    <x v="0"/>
    <x v="6"/>
    <n v="18744.39"/>
    <n v="1072.99"/>
    <n v="12246.21"/>
    <n v="3464"/>
    <n v="542.97"/>
    <n v="0"/>
    <n v="0"/>
    <x v="2"/>
    <s v="Review"/>
    <n v="65.332667534126216"/>
    <n v="5.7243260516879987E-2"/>
    <n v="2.8967066946430375E-2"/>
    <n v="0.18480195941292302"/>
  </r>
  <r>
    <s v="UKFI-100078"/>
    <x v="7"/>
    <x v="0"/>
    <x v="7"/>
    <n v="19011.64"/>
    <n v="13860.98"/>
    <n v="13712.85"/>
    <n v="-495.43"/>
    <n v="62.81"/>
    <n v="745"/>
    <n v="1855"/>
    <x v="0"/>
    <s v="Missing"/>
    <n v="72.128706413544549"/>
    <n v="0.72907860657996892"/>
    <n v="3.3037654826201216E-3"/>
    <n v="-2.6059298408764316E-2"/>
  </r>
  <r>
    <s v="UKFI-100079"/>
    <x v="7"/>
    <x v="0"/>
    <x v="8"/>
    <n v="7730.21"/>
    <n v="13505.16"/>
    <n v="3760.11"/>
    <n v="-546.24"/>
    <n v="325.95"/>
    <n v="6094"/>
    <n v="0"/>
    <x v="1"/>
    <s v="Missing"/>
    <n v="48.64175746842583"/>
    <n v="1.747062498948929"/>
    <n v="4.2165736765236647E-2"/>
    <n v="-7.0663022091249791E-2"/>
  </r>
  <r>
    <s v="UKFI-100080"/>
    <x v="7"/>
    <x v="0"/>
    <x v="9"/>
    <n v="3321.66"/>
    <n v="17339.5"/>
    <n v="3072.91"/>
    <n v="8631.5"/>
    <n v="516.78"/>
    <n v="6611"/>
    <n v="0"/>
    <x v="0"/>
    <s v="Missing"/>
    <n v="92.5112744832403"/>
    <n v="5.2201308984062189"/>
    <n v="0.15557883708748035"/>
    <n v="2.598550122529097"/>
  </r>
  <r>
    <s v="UKFI-100081"/>
    <x v="8"/>
    <x v="0"/>
    <x v="0"/>
    <n v="16984.3"/>
    <n v="12167.67"/>
    <n v="11815.83"/>
    <n v="7046.59"/>
    <n v="564.47"/>
    <n v="0"/>
    <n v="1981"/>
    <x v="0"/>
    <s v="Review"/>
    <n v="69.569131492024994"/>
    <n v="0.71640691697626635"/>
    <n v="3.3234810972486359E-2"/>
    <n v="0.41488845580918854"/>
  </r>
  <r>
    <s v="UKFI-100082"/>
    <x v="8"/>
    <x v="0"/>
    <x v="1"/>
    <n v="16367.48"/>
    <n v="11510.19"/>
    <n v="9446.07"/>
    <n v="5711.85"/>
    <n v="391.3"/>
    <n v="0"/>
    <n v="235"/>
    <x v="1"/>
    <s v="Missing"/>
    <n v="57.712427325403794"/>
    <n v="0.70323531783756577"/>
    <n v="2.3907162251000154E-2"/>
    <n v="0.34897552952562033"/>
  </r>
  <r>
    <s v="UKFI-100083"/>
    <x v="8"/>
    <x v="0"/>
    <x v="2"/>
    <n v="13669.89"/>
    <n v="7117.9"/>
    <n v="7608.93"/>
    <n v="8443.19"/>
    <n v="419.41"/>
    <n v="8950"/>
    <n v="2455"/>
    <x v="1"/>
    <s v="Review"/>
    <n v="55.661969481831974"/>
    <n v="0.52069914242177517"/>
    <n v="3.0681300288444166E-2"/>
    <n v="0.61764871553465328"/>
  </r>
  <r>
    <s v="UKFI-100084"/>
    <x v="8"/>
    <x v="0"/>
    <x v="3"/>
    <n v="10498.84"/>
    <n v="17137.080000000002"/>
    <n v="944.51"/>
    <n v="2075.83"/>
    <n v="268.81"/>
    <n v="3968"/>
    <n v="0"/>
    <x v="0"/>
    <s v="Review"/>
    <n v="8.996327213292135"/>
    <n v="1.6322831855709774"/>
    <n v="2.5603780989137848E-2"/>
    <n v="0.19771993858369113"/>
  </r>
  <r>
    <s v="UKFI-100085"/>
    <x v="8"/>
    <x v="0"/>
    <x v="4"/>
    <n v="5150.3100000000004"/>
    <n v="2374.44"/>
    <n v="17006.25"/>
    <n v="3001.89"/>
    <n v="399.35"/>
    <n v="0"/>
    <n v="1416"/>
    <x v="2"/>
    <s v="Review"/>
    <n v="330.19857057148016"/>
    <n v="0.46102855944593624"/>
    <n v="7.7539021922952214E-2"/>
    <n v="0.58285617758931008"/>
  </r>
  <r>
    <s v="UKFI-100086"/>
    <x v="8"/>
    <x v="0"/>
    <x v="5"/>
    <n v="14078.09"/>
    <n v="10637.62"/>
    <n v="16317.14"/>
    <n v="562.99"/>
    <n v="465.75"/>
    <n v="146"/>
    <n v="642"/>
    <x v="0"/>
    <s v="Missing"/>
    <n v="115.90450124981442"/>
    <n v="0.75561528588040006"/>
    <n v="3.3083323092834328E-2"/>
    <n v="3.9990510076295858E-2"/>
  </r>
  <r>
    <s v="UKFI-100087"/>
    <x v="8"/>
    <x v="0"/>
    <x v="6"/>
    <n v="21727.97"/>
    <n v="2546.1"/>
    <n v="7357.37"/>
    <n v="6672.75"/>
    <n v="355.37"/>
    <n v="0"/>
    <n v="1136"/>
    <x v="2"/>
    <s v="Review"/>
    <n v="33.861285706856179"/>
    <n v="0.11718075825767431"/>
    <n v="1.6355416543745227E-2"/>
    <n v="0.3071041611342431"/>
  </r>
  <r>
    <s v="UKFI-100088"/>
    <x v="8"/>
    <x v="0"/>
    <x v="7"/>
    <n v="2057.17"/>
    <n v="8179.3"/>
    <n v="7432.17"/>
    <n v="4530.33"/>
    <n v="273.94"/>
    <n v="0"/>
    <n v="0"/>
    <x v="1"/>
    <s v="Review"/>
    <n v="361.28127476095801"/>
    <n v="3.9759961500507979"/>
    <n v="0.13316352075910109"/>
    <n v="2.2022146930005784"/>
  </r>
  <r>
    <s v="UKFI-100089"/>
    <x v="8"/>
    <x v="0"/>
    <x v="8"/>
    <n v="12235.06"/>
    <n v="7348.79"/>
    <n v="13816.12"/>
    <n v="3392.96"/>
    <n v="546.27"/>
    <n v="0"/>
    <n v="1369"/>
    <x v="0"/>
    <s v="OK"/>
    <n v="112.92237226462316"/>
    <n v="0.60063375251122597"/>
    <n v="4.4647921628500391E-2"/>
    <n v="0.27731453707623832"/>
  </r>
  <r>
    <s v="UKFI-100090"/>
    <x v="8"/>
    <x v="0"/>
    <x v="9"/>
    <n v="13934.73"/>
    <n v="5988.3"/>
    <n v="19894.169999999998"/>
    <n v="3836.13"/>
    <n v="274.95999999999998"/>
    <n v="0"/>
    <n v="2924"/>
    <x v="0"/>
    <s v="Review"/>
    <n v="142.76681356581719"/>
    <n v="0.4297392199202999"/>
    <n v="1.9731993371956254E-2"/>
    <n v="0.27529273979474306"/>
  </r>
  <r>
    <s v="UKFI-100091"/>
    <x v="9"/>
    <x v="0"/>
    <x v="0"/>
    <n v="22258.23"/>
    <n v="7565.88"/>
    <n v="16600.16"/>
    <n v="2386.0300000000002"/>
    <n v="439.12"/>
    <n v="5220"/>
    <n v="0"/>
    <x v="1"/>
    <s v="OK"/>
    <n v="74.579874500353355"/>
    <n v="0.33991382064072484"/>
    <n v="1.9728433033534113E-2"/>
    <n v="0.10719765228412144"/>
  </r>
  <r>
    <s v="UKFI-100092"/>
    <x v="9"/>
    <x v="0"/>
    <x v="1"/>
    <n v="2735.01"/>
    <n v="1719.49"/>
    <n v="8807.9699999999993"/>
    <n v="6190.48"/>
    <n v="226.72"/>
    <n v="0"/>
    <n v="0"/>
    <x v="0"/>
    <s v="Missing"/>
    <n v="322.04525760417687"/>
    <n v="0.62869605595591971"/>
    <n v="8.2895492155421732E-2"/>
    <n v="2.2634213403241668"/>
  </r>
  <r>
    <s v="UKFI-100093"/>
    <x v="9"/>
    <x v="0"/>
    <x v="2"/>
    <n v="18881.96"/>
    <n v="15652.04"/>
    <n v="14504.9"/>
    <n v="8652.3799999999992"/>
    <n v="362.24"/>
    <n v="0"/>
    <n v="2417"/>
    <x v="2"/>
    <s v="Review"/>
    <n v="76.818826011706406"/>
    <n v="0.82894148700664561"/>
    <n v="1.9184449072024302E-2"/>
    <n v="0.45823526794887814"/>
  </r>
  <r>
    <s v="UKFI-100094"/>
    <x v="9"/>
    <x v="0"/>
    <x v="3"/>
    <n v="9077.7900000000009"/>
    <n v="10101.530000000001"/>
    <n v="2563.2399999999998"/>
    <n v="1064.25"/>
    <n v="139.56"/>
    <n v="0"/>
    <n v="0"/>
    <x v="0"/>
    <s v="OK"/>
    <n v="28.236387931423835"/>
    <n v="1.112774144367737"/>
    <n v="1.5373785910447366E-2"/>
    <n v="0.11723668425905423"/>
  </r>
  <r>
    <s v="UKFI-100095"/>
    <x v="9"/>
    <x v="0"/>
    <x v="4"/>
    <n v="23077.67"/>
    <n v="6448.22"/>
    <n v="3873.69"/>
    <n v="-424.23"/>
    <n v="396.12"/>
    <n v="0"/>
    <n v="2643"/>
    <x v="0"/>
    <s v="Review"/>
    <n v="16.785446711041455"/>
    <n v="0.27941382297259648"/>
    <n v="1.7164644437675035E-2"/>
    <n v="-1.8382705013114412E-2"/>
  </r>
  <r>
    <s v="UKFI-100096"/>
    <x v="9"/>
    <x v="0"/>
    <x v="5"/>
    <n v="11614.32"/>
    <n v="3001.89"/>
    <n v="6439.26"/>
    <n v="1568.21"/>
    <n v="565.14"/>
    <n v="0"/>
    <n v="687"/>
    <x v="0"/>
    <s v="OK"/>
    <n v="55.442419358171634"/>
    <n v="0.25846455065815305"/>
    <n v="4.8658896947905692E-2"/>
    <n v="0.13502383264797252"/>
  </r>
  <r>
    <s v="UKFI-100097"/>
    <x v="9"/>
    <x v="0"/>
    <x v="6"/>
    <n v="16717.5"/>
    <n v="8844.7800000000007"/>
    <n v="9008.27"/>
    <n v="1004.84"/>
    <n v="454.19"/>
    <n v="1964"/>
    <n v="1810"/>
    <x v="1"/>
    <s v="Review"/>
    <n v="53.885269926723502"/>
    <n v="0.52907312696276365"/>
    <n v="2.7168535965305819E-2"/>
    <n v="6.0107073426050546E-2"/>
  </r>
  <r>
    <s v="UKFI-100098"/>
    <x v="9"/>
    <x v="0"/>
    <x v="7"/>
    <n v="16844.75"/>
    <n v="1008.43"/>
    <n v="8086.69"/>
    <n v="4592.57"/>
    <n v="9.57"/>
    <n v="0"/>
    <n v="0"/>
    <x v="1"/>
    <s v="Missing"/>
    <n v="48.007183247005742"/>
    <n v="5.986613039671114E-2"/>
    <n v="5.681295359088143E-4"/>
    <n v="0.27264103058816541"/>
  </r>
  <r>
    <s v="UKFI-100099"/>
    <x v="9"/>
    <x v="0"/>
    <x v="8"/>
    <n v="11051.05"/>
    <n v="2499.5100000000002"/>
    <n v="10791.87"/>
    <n v="531.22"/>
    <n v="337.44"/>
    <n v="0"/>
    <n v="1676"/>
    <x v="1"/>
    <s v="OK"/>
    <n v="97.654702494333137"/>
    <n v="0.22617850792458638"/>
    <n v="3.0534655078024261E-2"/>
    <n v="4.8069640441406027E-2"/>
  </r>
  <r>
    <s v="UKFI-100100"/>
    <x v="9"/>
    <x v="0"/>
    <x v="9"/>
    <n v="8169.99"/>
    <n v="7841.26"/>
    <n v="8267.1299999999992"/>
    <n v="5041.5600000000004"/>
    <n v="177.26"/>
    <n v="0"/>
    <n v="1380"/>
    <x v="0"/>
    <s v="Missing"/>
    <n v="101.18898554343394"/>
    <n v="0.95976372064102899"/>
    <n v="2.1696476984671951E-2"/>
    <n v="0.61708276264720041"/>
  </r>
  <r>
    <s v="UKFI-100101"/>
    <x v="10"/>
    <x v="0"/>
    <x v="0"/>
    <n v="2659.18"/>
    <n v="15231.82"/>
    <n v="5093.33"/>
    <n v="4477.58"/>
    <n v="316.76"/>
    <n v="6584"/>
    <n v="1440"/>
    <x v="1"/>
    <s v="OK"/>
    <n v="191.53761685933259"/>
    <n v="5.7280138990215033"/>
    <n v="0.11911942779353034"/>
    <n v="1.6838198241563189"/>
  </r>
  <r>
    <s v="UKFI-100102"/>
    <x v="10"/>
    <x v="0"/>
    <x v="1"/>
    <n v="13499.82"/>
    <n v="3651.49"/>
    <n v="15591.7"/>
    <n v="1862.1"/>
    <n v="575.14"/>
    <n v="0"/>
    <n v="471"/>
    <x v="1"/>
    <s v="OK"/>
    <n v="115.4956140155943"/>
    <n v="0.2704843471987034"/>
    <n v="4.2603531010043098E-2"/>
    <n v="0.13793517246896625"/>
  </r>
  <r>
    <s v="UKFI-100103"/>
    <x v="10"/>
    <x v="0"/>
    <x v="2"/>
    <n v="19099.23"/>
    <n v="1541.29"/>
    <n v="19040.46"/>
    <n v="4907.4399999999996"/>
    <n v="281.05"/>
    <n v="7454"/>
    <n v="0"/>
    <x v="2"/>
    <s v="Missing"/>
    <n v="99.692291259909425"/>
    <n v="8.0699064831409428E-2"/>
    <n v="1.4715252918573158E-2"/>
    <n v="0.2569443899047239"/>
  </r>
  <r>
    <s v="UKFI-100104"/>
    <x v="10"/>
    <x v="0"/>
    <x v="3"/>
    <n v="7919.1"/>
    <n v="5089.1899999999996"/>
    <n v="1406.59"/>
    <n v="3580.71"/>
    <n v="189.69"/>
    <n v="0"/>
    <n v="0"/>
    <x v="1"/>
    <s v="OK"/>
    <n v="17.761993155787902"/>
    <n v="0.64264752307711726"/>
    <n v="2.3953479562071445E-2"/>
    <n v="0.45216123044285333"/>
  </r>
  <r>
    <s v="UKFI-100105"/>
    <x v="10"/>
    <x v="0"/>
    <x v="4"/>
    <n v="2712.26"/>
    <n v="10774.62"/>
    <n v="7874.3"/>
    <n v="4383.62"/>
    <n v="572.77"/>
    <n v="772"/>
    <n v="2391"/>
    <x v="1"/>
    <s v="Review"/>
    <n v="290.32246171089793"/>
    <n v="3.9725616275725777"/>
    <n v="0.21117813189001053"/>
    <n v="1.6162241083082003"/>
  </r>
  <r>
    <s v="UKFI-100106"/>
    <x v="10"/>
    <x v="0"/>
    <x v="5"/>
    <n v="2015.91"/>
    <n v="2042.33"/>
    <n v="18012.8"/>
    <n v="1777.82"/>
    <n v="430.02"/>
    <n v="0"/>
    <n v="210"/>
    <x v="1"/>
    <s v="Missing"/>
    <n v="893.53195331140773"/>
    <n v="1.0131057438080073"/>
    <n v="0.21331309433456849"/>
    <n v="0.88189452902163279"/>
  </r>
  <r>
    <s v="UKFI-100107"/>
    <x v="10"/>
    <x v="0"/>
    <x v="6"/>
    <n v="9415.5"/>
    <n v="16539.27"/>
    <n v="7932.11"/>
    <n v="6519.11"/>
    <n v="408.94"/>
    <n v="957"/>
    <n v="0"/>
    <x v="0"/>
    <s v="Review"/>
    <n v="84.245233922786895"/>
    <n v="1.7566002867611916"/>
    <n v="4.3432637671923957E-2"/>
    <n v="0.69238064892995588"/>
  </r>
  <r>
    <s v="UKFI-100108"/>
    <x v="10"/>
    <x v="0"/>
    <x v="7"/>
    <n v="18231.47"/>
    <n v="11886.84"/>
    <n v="18154.95"/>
    <n v="7606.08"/>
    <n v="203.35"/>
    <n v="2417"/>
    <n v="0"/>
    <x v="2"/>
    <s v="Review"/>
    <n v="99.580286175497648"/>
    <n v="0.65199569754934739"/>
    <n v="1.115379067074679E-2"/>
    <n v="0.41719510275364519"/>
  </r>
  <r>
    <s v="UKFI-100109"/>
    <x v="10"/>
    <x v="0"/>
    <x v="8"/>
    <n v="14193.59"/>
    <n v="11654.18"/>
    <n v="6770.99"/>
    <n v="-594.27"/>
    <n v="423.18"/>
    <n v="0"/>
    <n v="0"/>
    <x v="0"/>
    <s v="Missing"/>
    <n v="47.704562411623833"/>
    <n v="0.8210875472660546"/>
    <n v="2.9814867133684995E-2"/>
    <n v="-4.1868899975270525E-2"/>
  </r>
  <r>
    <s v="UKFI-100110"/>
    <x v="10"/>
    <x v="0"/>
    <x v="9"/>
    <n v="23803.65"/>
    <n v="6282.84"/>
    <n v="15393.28"/>
    <n v="112.06"/>
    <n v="599.99"/>
    <n v="0"/>
    <n v="1261"/>
    <x v="0"/>
    <s v="Review"/>
    <n v="64.667729528874773"/>
    <n v="0.2639443950822668"/>
    <n v="2.5205798270433316E-2"/>
    <n v="4.7076813849976787E-3"/>
  </r>
  <r>
    <s v="UKFI-100111"/>
    <x v="11"/>
    <x v="0"/>
    <x v="0"/>
    <n v="1424.81"/>
    <n v="6194.41"/>
    <n v="15396.26"/>
    <n v="-558.46"/>
    <n v="229.15"/>
    <n v="0"/>
    <n v="2887"/>
    <x v="1"/>
    <s v="OK"/>
    <n v="1080.5833760290848"/>
    <n v="4.3475340571725356"/>
    <n v="0.16082846133870482"/>
    <n v="-0.39195401492128779"/>
  </r>
  <r>
    <s v="UKFI-100112"/>
    <x v="11"/>
    <x v="0"/>
    <x v="1"/>
    <n v="6319.49"/>
    <n v="8106.74"/>
    <n v="5913.08"/>
    <n v="6233.9"/>
    <n v="272.11"/>
    <n v="0"/>
    <n v="0"/>
    <x v="2"/>
    <s v="Missing"/>
    <n v="93.568943063443413"/>
    <n v="1.2828155436593776"/>
    <n v="4.3058854432873543E-2"/>
    <n v="0.9864561855466184"/>
  </r>
  <r>
    <s v="UKFI-100113"/>
    <x v="11"/>
    <x v="0"/>
    <x v="2"/>
    <n v="11294.64"/>
    <n v="13896.01"/>
    <n v="15629.04"/>
    <n v="3531.97"/>
    <n v="254.1"/>
    <n v="0"/>
    <n v="2526"/>
    <x v="1"/>
    <s v="OK"/>
    <n v="138.37572512271311"/>
    <n v="1.2303189831636954"/>
    <n v="2.2497396995388965E-2"/>
    <n v="0.31271204748447051"/>
  </r>
  <r>
    <s v="UKFI-100114"/>
    <x v="11"/>
    <x v="0"/>
    <x v="3"/>
    <n v="14086.25"/>
    <n v="2026.1"/>
    <n v="16964.080000000002"/>
    <n v="7362.83"/>
    <n v="174.61"/>
    <n v="2726"/>
    <n v="1890"/>
    <x v="1"/>
    <s v="OK"/>
    <n v="120.43006477948354"/>
    <n v="0.14383530038157777"/>
    <n v="1.239577602271719E-2"/>
    <n v="0.5226962463395155"/>
  </r>
  <r>
    <s v="UKFI-100115"/>
    <x v="11"/>
    <x v="0"/>
    <x v="4"/>
    <n v="11552.64"/>
    <n v="6422.61"/>
    <n v="825.4"/>
    <n v="-1414.17"/>
    <n v="303.69"/>
    <n v="3962"/>
    <n v="0"/>
    <x v="2"/>
    <s v="OK"/>
    <n v="7.144687274943216"/>
    <n v="0.55594305717134784"/>
    <n v="2.6287497922552767E-2"/>
    <n v="-0.1224109813860728"/>
  </r>
  <r>
    <s v="UKFI-100116"/>
    <x v="11"/>
    <x v="0"/>
    <x v="5"/>
    <n v="18010.25"/>
    <n v="6168.17"/>
    <n v="3177.17"/>
    <n v="-1578.66"/>
    <n v="550.85"/>
    <n v="0"/>
    <n v="0"/>
    <x v="1"/>
    <s v="Review"/>
    <n v="17.640898932552297"/>
    <n v="0.34248108715870129"/>
    <n v="3.0585361113810192E-2"/>
    <n v="-8.7653419580516659E-2"/>
  </r>
  <r>
    <s v="UKFI-100117"/>
    <x v="11"/>
    <x v="0"/>
    <x v="6"/>
    <n v="6770.14"/>
    <n v="15062.34"/>
    <n v="11111.44"/>
    <n v="5999.58"/>
    <n v="319.02"/>
    <n v="1921"/>
    <n v="0"/>
    <x v="0"/>
    <s v="OK"/>
    <n v="164.12422785939432"/>
    <n v="2.2248195753706717"/>
    <n v="4.712162525442605E-2"/>
    <n v="0.88618256047880839"/>
  </r>
  <r>
    <s v="UKFI-100118"/>
    <x v="11"/>
    <x v="0"/>
    <x v="7"/>
    <n v="15758.86"/>
    <n v="1317.97"/>
    <n v="16782.75"/>
    <n v="3498.12"/>
    <n v="323.95"/>
    <n v="0"/>
    <n v="2993"/>
    <x v="1"/>
    <s v="Missing"/>
    <n v="106.49723393697259"/>
    <n v="8.3633587708755577E-2"/>
    <n v="2.0556690014379212E-2"/>
    <n v="0.22197798571724095"/>
  </r>
  <r>
    <s v="UKFI-100119"/>
    <x v="11"/>
    <x v="0"/>
    <x v="8"/>
    <n v="14481.26"/>
    <n v="3534.19"/>
    <n v="13463.83"/>
    <n v="3758.33"/>
    <n v="219.56"/>
    <n v="0"/>
    <n v="0"/>
    <x v="0"/>
    <s v="Review"/>
    <n v="92.974161088192602"/>
    <n v="0.24405265840127172"/>
    <n v="1.5161664109338552E-2"/>
    <n v="0.25953059333234813"/>
  </r>
  <r>
    <s v="UKFI-100120"/>
    <x v="11"/>
    <x v="0"/>
    <x v="9"/>
    <n v="18809.259999999998"/>
    <n v="6556.27"/>
    <n v="1630.92"/>
    <n v="652.39"/>
    <n v="395.98"/>
    <n v="1798"/>
    <n v="596"/>
    <x v="1"/>
    <s v="Review"/>
    <n v="8.6708355352629507"/>
    <n v="0.34856607862297617"/>
    <n v="2.1052396532346303E-2"/>
    <n v="3.4684511777709495E-2"/>
  </r>
  <r>
    <s v="UKFI-100121"/>
    <x v="12"/>
    <x v="0"/>
    <x v="0"/>
    <n v="20844.400000000001"/>
    <n v="12387.35"/>
    <n v="19622.14"/>
    <n v="3263.84"/>
    <n v="113.46"/>
    <n v="0"/>
    <n v="0"/>
    <x v="0"/>
    <s v="Missing"/>
    <n v="94.136266815067827"/>
    <n v="0.59427711999385924"/>
    <n v="5.4431885782272446E-3"/>
    <n v="0.15658114409625606"/>
  </r>
  <r>
    <s v="UKFI-100122"/>
    <x v="12"/>
    <x v="0"/>
    <x v="1"/>
    <n v="22201.86"/>
    <n v="5817.61"/>
    <n v="6408.49"/>
    <n v="2380.46"/>
    <n v="490.17"/>
    <n v="7856"/>
    <n v="199"/>
    <x v="1"/>
    <s v="Missing"/>
    <n v="28.864653682168967"/>
    <n v="0.2620325504259553"/>
    <n v="2.2077879961408638E-2"/>
    <n v="0.10721894471904606"/>
  </r>
  <r>
    <s v="UKFI-100123"/>
    <x v="12"/>
    <x v="0"/>
    <x v="2"/>
    <n v="16565.419999999998"/>
    <n v="5063.26"/>
    <n v="16047.05"/>
    <n v="2806.47"/>
    <n v="243.01"/>
    <n v="7304"/>
    <n v="1438"/>
    <x v="1"/>
    <s v="Review"/>
    <n v="96.870770556979551"/>
    <n v="0.30565237706016513"/>
    <n v="1.4669715588255536E-2"/>
    <n v="0.16941737667985479"/>
  </r>
  <r>
    <s v="UKFI-100124"/>
    <x v="12"/>
    <x v="0"/>
    <x v="3"/>
    <n v="13222.26"/>
    <n v="14460.44"/>
    <n v="14623.5"/>
    <n v="-1131.8"/>
    <n v="363.46"/>
    <n v="3056"/>
    <n v="1365"/>
    <x v="0"/>
    <s v="Missing"/>
    <n v="110.59758316656909"/>
    <n v="1.0936435979930814"/>
    <n v="2.7488492890020311E-2"/>
    <n v="-8.55980747618032E-2"/>
  </r>
  <r>
    <s v="UKFI-100125"/>
    <x v="12"/>
    <x v="0"/>
    <x v="4"/>
    <n v="15264.23"/>
    <n v="7784.87"/>
    <n v="13888.37"/>
    <n v="1867.02"/>
    <n v="30.2"/>
    <n v="5876"/>
    <n v="1174"/>
    <x v="0"/>
    <s v="Review"/>
    <n v="90.986377956831106"/>
    <n v="0.51000738327449202"/>
    <n v="1.978481718370334E-3"/>
    <n v="0.12231340853747619"/>
  </r>
  <r>
    <s v="UKFI-100126"/>
    <x v="12"/>
    <x v="0"/>
    <x v="5"/>
    <n v="20126.849999999999"/>
    <n v="12293.51"/>
    <n v="19069.95"/>
    <n v="-429.43"/>
    <n v="366.51"/>
    <n v="0"/>
    <n v="567"/>
    <x v="2"/>
    <s v="Review"/>
    <n v="94.748805699848717"/>
    <n v="0.61080149153990815"/>
    <n v="1.8210003055619733E-2"/>
    <n v="-2.1336175308108326E-2"/>
  </r>
  <r>
    <s v="UKFI-100127"/>
    <x v="12"/>
    <x v="0"/>
    <x v="6"/>
    <n v="14397.49"/>
    <n v="10970.69"/>
    <n v="13677.52"/>
    <n v="8437.06"/>
    <n v="226.35"/>
    <n v="0"/>
    <n v="0"/>
    <x v="1"/>
    <s v="Missing"/>
    <n v="94.999336689936925"/>
    <n v="0.76198629066594248"/>
    <n v="1.5721490343108418E-2"/>
    <n v="0.58600908908427785"/>
  </r>
  <r>
    <s v="UKFI-100128"/>
    <x v="12"/>
    <x v="0"/>
    <x v="7"/>
    <n v="3279.49"/>
    <n v="13295.01"/>
    <n v="10131.17"/>
    <n v="2256.86"/>
    <n v="339.2"/>
    <n v="4388"/>
    <n v="0"/>
    <x v="2"/>
    <s v="Review"/>
    <n v="308.9251682426231"/>
    <n v="4.0539870528649278"/>
    <n v="0.10343071636138547"/>
    <n v="0.68817407584715928"/>
  </r>
  <r>
    <s v="UKFI-100129"/>
    <x v="12"/>
    <x v="0"/>
    <x v="8"/>
    <n v="12534.4"/>
    <n v="2382.9499999999998"/>
    <n v="17100.68"/>
    <n v="2972.47"/>
    <n v="539.71"/>
    <n v="0"/>
    <n v="0"/>
    <x v="1"/>
    <s v="Review"/>
    <n v="136.42998468215472"/>
    <n v="0.19011280954812357"/>
    <n v="4.3058303548634165E-2"/>
    <n v="0.23714497702323206"/>
  </r>
  <r>
    <s v="UKFI-100130"/>
    <x v="12"/>
    <x v="0"/>
    <x v="9"/>
    <n v="22337.63"/>
    <n v="15354.24"/>
    <n v="14322.64"/>
    <n v="8200.57"/>
    <n v="384.43"/>
    <n v="0"/>
    <n v="547"/>
    <x v="2"/>
    <s v="OK"/>
    <n v="64.118888172111355"/>
    <n v="0.68737104160110085"/>
    <n v="1.7209972588855666E-2"/>
    <n v="0.36711907216656375"/>
  </r>
  <r>
    <s v="UKFI-100131"/>
    <x v="13"/>
    <x v="0"/>
    <x v="0"/>
    <n v="14073.53"/>
    <n v="6766.62"/>
    <n v="16132.14"/>
    <n v="4068.12"/>
    <n v="369.11"/>
    <n v="0"/>
    <n v="0"/>
    <x v="1"/>
    <s v="Review"/>
    <n v="114.62753125903735"/>
    <n v="0.48080474479395002"/>
    <n v="2.6227250732403312E-2"/>
    <n v="0.28906180609982002"/>
  </r>
  <r>
    <s v="UKFI-100132"/>
    <x v="13"/>
    <x v="0"/>
    <x v="1"/>
    <n v="14585.06"/>
    <n v="2430.8200000000002"/>
    <n v="6545.45"/>
    <n v="-1184.18"/>
    <n v="282.17"/>
    <n v="8576"/>
    <n v="575"/>
    <x v="2"/>
    <s v="Missing"/>
    <n v="44.877772186058884"/>
    <n v="0.16666506685608426"/>
    <n v="1.9346509373290206E-2"/>
    <n v="-8.1191301235647995E-2"/>
  </r>
  <r>
    <s v="UKFI-100133"/>
    <x v="13"/>
    <x v="0"/>
    <x v="2"/>
    <n v="20869.07"/>
    <n v="9422.2199999999993"/>
    <n v="6291.25"/>
    <n v="-218.36"/>
    <n v="561.16999999999996"/>
    <n v="3794"/>
    <n v="0"/>
    <x v="0"/>
    <s v="Missing"/>
    <n v="30.146288262965243"/>
    <n v="0.45149208853101741"/>
    <n v="2.6890033911429689E-2"/>
    <n v="-1.0463331619473222E-2"/>
  </r>
  <r>
    <s v="UKFI-100134"/>
    <x v="13"/>
    <x v="0"/>
    <x v="3"/>
    <n v="7224.05"/>
    <n v="11325.4"/>
    <n v="12404.24"/>
    <n v="-972.29"/>
    <n v="386.39"/>
    <n v="0"/>
    <n v="0"/>
    <x v="0"/>
    <s v="OK"/>
    <n v="171.70756016362012"/>
    <n v="1.5677355500031145"/>
    <n v="5.34866176175414E-2"/>
    <n v="-0.13459070742865842"/>
  </r>
  <r>
    <s v="UKFI-100135"/>
    <x v="13"/>
    <x v="0"/>
    <x v="4"/>
    <n v="1613.81"/>
    <n v="11617.88"/>
    <n v="11662.39"/>
    <n v="5162.43"/>
    <n v="461.34"/>
    <n v="0"/>
    <n v="0"/>
    <x v="1"/>
    <s v="Missing"/>
    <n v="722.66189948011231"/>
    <n v="7.1990383006673646"/>
    <n v="0.28587008383886581"/>
    <n v="3.1989081738246758"/>
  </r>
  <r>
    <s v="UKFI-100136"/>
    <x v="13"/>
    <x v="0"/>
    <x v="5"/>
    <n v="10449.27"/>
    <n v="8273.09"/>
    <n v="13865.69"/>
    <n v="-261.12"/>
    <n v="252.29"/>
    <n v="0"/>
    <n v="1443"/>
    <x v="1"/>
    <s v="Review"/>
    <n v="132.69529833184518"/>
    <n v="0.79173856164114809"/>
    <n v="2.4144270365298245E-2"/>
    <n v="-2.4989305473013902E-2"/>
  </r>
  <r>
    <s v="UKFI-100137"/>
    <x v="13"/>
    <x v="0"/>
    <x v="6"/>
    <n v="8961.58"/>
    <n v="7297.16"/>
    <n v="15285.1"/>
    <n v="3664.78"/>
    <n v="68.180000000000007"/>
    <n v="4060"/>
    <n v="0"/>
    <x v="1"/>
    <s v="OK"/>
    <n v="170.56255704909179"/>
    <n v="0.81427159050078224"/>
    <n v="7.6080334048237034E-3"/>
    <n v="0.40894351219316238"/>
  </r>
  <r>
    <s v="UKFI-100138"/>
    <x v="13"/>
    <x v="0"/>
    <x v="7"/>
    <n v="23661.93"/>
    <n v="15582.12"/>
    <n v="8537.25"/>
    <n v="8589.5400000000009"/>
    <n v="541.87"/>
    <n v="5464"/>
    <n v="827"/>
    <x v="1"/>
    <s v="Review"/>
    <n v="36.080108427334537"/>
    <n v="0.65853123561772009"/>
    <n v="2.2900498818143745E-2"/>
    <n v="0.36301096318009568"/>
  </r>
  <r>
    <s v="UKFI-100139"/>
    <x v="13"/>
    <x v="0"/>
    <x v="8"/>
    <n v="12685.57"/>
    <n v="1802.87"/>
    <n v="8046.87"/>
    <n v="3029.54"/>
    <n v="148.22999999999999"/>
    <n v="0"/>
    <n v="0"/>
    <x v="1"/>
    <s v="Review"/>
    <n v="63.433255265628588"/>
    <n v="0.14211974708270894"/>
    <n v="1.1684930200219618E-2"/>
    <n v="0.23881780637369862"/>
  </r>
  <r>
    <s v="UKFI-100140"/>
    <x v="13"/>
    <x v="0"/>
    <x v="9"/>
    <n v="12029.38"/>
    <n v="9753.1"/>
    <n v="16989.3"/>
    <n v="2740.21"/>
    <n v="530.05999999999995"/>
    <n v="6092"/>
    <n v="1548"/>
    <x v="1"/>
    <s v="OK"/>
    <n v="141.23171767788531"/>
    <n v="0.81077329006149956"/>
    <n v="4.4063783835908414E-2"/>
    <n v="0.22779311984491304"/>
  </r>
  <r>
    <s v="UKFI-100141"/>
    <x v="14"/>
    <x v="0"/>
    <x v="0"/>
    <n v="14053.96"/>
    <n v="1508.87"/>
    <n v="10233.83"/>
    <n v="6408.45"/>
    <n v="171.43"/>
    <n v="0"/>
    <n v="0"/>
    <x v="1"/>
    <s v="Missing"/>
    <n v="72.818123859751992"/>
    <n v="0.10736262234985726"/>
    <n v="1.2197985478825899E-2"/>
    <n v="0.45598891700275229"/>
  </r>
  <r>
    <s v="UKFI-100142"/>
    <x v="14"/>
    <x v="0"/>
    <x v="1"/>
    <n v="4034.55"/>
    <n v="10923.84"/>
    <n v="8207.33"/>
    <n v="-1557.2"/>
    <n v="28.15"/>
    <n v="5556"/>
    <n v="0"/>
    <x v="2"/>
    <s v="Review"/>
    <n v="203.4261565726041"/>
    <n v="2.7075733353162064"/>
    <n v="6.977234140114758E-3"/>
    <n v="-0.38596621680236953"/>
  </r>
  <r>
    <s v="UKFI-100143"/>
    <x v="14"/>
    <x v="0"/>
    <x v="2"/>
    <n v="23318.53"/>
    <n v="5869.83"/>
    <n v="8041.21"/>
    <n v="4781.51"/>
    <n v="506.35"/>
    <n v="5611"/>
    <n v="0"/>
    <x v="1"/>
    <s v="OK"/>
    <n v="34.484206337191928"/>
    <n v="0.25172384365566786"/>
    <n v="2.1714490578951591E-2"/>
    <n v="0.20505194795726833"/>
  </r>
  <r>
    <s v="UKFI-100144"/>
    <x v="14"/>
    <x v="0"/>
    <x v="3"/>
    <n v="24507.5"/>
    <n v="10589.9"/>
    <n v="15996.07"/>
    <n v="5978.57"/>
    <n v="414.39"/>
    <n v="536"/>
    <n v="1137"/>
    <x v="0"/>
    <s v="Review"/>
    <n v="65.270100989493002"/>
    <n v="0.43210853820259104"/>
    <n v="1.6908701417933287E-2"/>
    <n v="0.2439485871671937"/>
  </r>
  <r>
    <s v="UKFI-100145"/>
    <x v="14"/>
    <x v="0"/>
    <x v="4"/>
    <n v="18168.98"/>
    <n v="13987.99"/>
    <n v="7789.75"/>
    <n v="7038.27"/>
    <n v="149.11000000000001"/>
    <n v="0"/>
    <n v="0"/>
    <x v="1"/>
    <s v="Missing"/>
    <n v="42.873898259561081"/>
    <n v="0.76988306443179533"/>
    <n v="8.20684485315081E-3"/>
    <n v="0.38737837787261586"/>
  </r>
  <r>
    <s v="UKFI-100146"/>
    <x v="14"/>
    <x v="0"/>
    <x v="5"/>
    <n v="10554.25"/>
    <n v="13994.51"/>
    <n v="18434.259999999998"/>
    <n v="7600.99"/>
    <n v="442.82"/>
    <n v="0"/>
    <n v="2174"/>
    <x v="0"/>
    <s v="Missing"/>
    <n v="174.66196082147002"/>
    <n v="1.3259596844872918"/>
    <n v="4.1956557784778643E-2"/>
    <n v="0.72018286472274196"/>
  </r>
  <r>
    <s v="UKFI-100147"/>
    <x v="14"/>
    <x v="0"/>
    <x v="6"/>
    <n v="9732.2099999999991"/>
    <n v="17229"/>
    <n v="9355.3700000000008"/>
    <n v="3864.4"/>
    <n v="330.03"/>
    <n v="4431"/>
    <n v="837"/>
    <x v="1"/>
    <s v="Review"/>
    <n v="96.127909282680932"/>
    <n v="1.7703070525605182"/>
    <n v="3.3911105494024485E-2"/>
    <n v="0.39707322386179505"/>
  </r>
  <r>
    <s v="UKFI-100148"/>
    <x v="14"/>
    <x v="0"/>
    <x v="7"/>
    <n v="24565.38"/>
    <n v="13926.9"/>
    <n v="14186.55"/>
    <n v="5592.64"/>
    <n v="295.95999999999998"/>
    <n v="7961"/>
    <n v="0"/>
    <x v="1"/>
    <s v="OK"/>
    <n v="57.750175246627563"/>
    <n v="0.56693199942357897"/>
    <n v="1.2047849453173529E-2"/>
    <n v="0.22766348413906073"/>
  </r>
  <r>
    <s v="UKFI-100149"/>
    <x v="14"/>
    <x v="0"/>
    <x v="8"/>
    <n v="22446.13"/>
    <n v="7222.68"/>
    <n v="7099.15"/>
    <n v="6503.71"/>
    <n v="92.15"/>
    <n v="789"/>
    <n v="2975"/>
    <x v="1"/>
    <s v="Missing"/>
    <n v="31.62750104360974"/>
    <n v="0.32177840901750099"/>
    <n v="4.1053847589762691E-3"/>
    <n v="0.28974749767554586"/>
  </r>
  <r>
    <s v="UKFI-100150"/>
    <x v="14"/>
    <x v="0"/>
    <x v="9"/>
    <n v="5742.68"/>
    <n v="14937.54"/>
    <n v="5641.31"/>
    <n v="4182.2"/>
    <n v="166.61"/>
    <n v="0"/>
    <n v="1043"/>
    <x v="0"/>
    <s v="OK"/>
    <n v="98.234796297199225"/>
    <n v="2.601144413409767"/>
    <n v="2.9012586457890743E-2"/>
    <n v="0.7282662450284535"/>
  </r>
  <r>
    <s v="UKFI-100151"/>
    <x v="15"/>
    <x v="0"/>
    <x v="0"/>
    <n v="10625.88"/>
    <n v="12968.97"/>
    <n v="2280.73"/>
    <n v="6478.43"/>
    <n v="8.08"/>
    <n v="2687"/>
    <n v="0"/>
    <x v="1"/>
    <s v="Review"/>
    <n v="21.463916400335787"/>
    <n v="1.2205078544082937"/>
    <n v="7.6040760859335892E-4"/>
    <n v="0.60968409204696461"/>
  </r>
  <r>
    <s v="UKFI-100152"/>
    <x v="15"/>
    <x v="0"/>
    <x v="1"/>
    <n v="8368.61"/>
    <n v="11696.98"/>
    <n v="18186.36"/>
    <n v="-1015.93"/>
    <n v="346.61"/>
    <n v="0"/>
    <n v="0"/>
    <x v="2"/>
    <s v="OK"/>
    <n v="217.31637631578002"/>
    <n v="1.3977207684430268"/>
    <n v="4.1417869873252543E-2"/>
    <n v="-0.12139769925949469"/>
  </r>
  <r>
    <s v="UKFI-100153"/>
    <x v="15"/>
    <x v="0"/>
    <x v="2"/>
    <n v="12636.91"/>
    <n v="16871.64"/>
    <n v="19253.990000000002"/>
    <n v="8186.44"/>
    <n v="526.66"/>
    <n v="251"/>
    <n v="2376"/>
    <x v="1"/>
    <s v="Missing"/>
    <n v="152.36311724939088"/>
    <n v="1.3351080287823527"/>
    <n v="4.1676327519939604E-2"/>
    <n v="0.64781975973556827"/>
  </r>
  <r>
    <s v="UKFI-100154"/>
    <x v="15"/>
    <x v="0"/>
    <x v="3"/>
    <n v="13345.8"/>
    <n v="16028.83"/>
    <n v="2943.74"/>
    <n v="3546.34"/>
    <n v="167.34"/>
    <n v="1945"/>
    <n v="0"/>
    <x v="1"/>
    <s v="Review"/>
    <n v="22.057426306403514"/>
    <n v="1.2010392782748132"/>
    <n v="1.2538776244211663E-2"/>
    <n v="0.26572704521272611"/>
  </r>
  <r>
    <s v="UKFI-100155"/>
    <x v="15"/>
    <x v="0"/>
    <x v="4"/>
    <n v="19873.810000000001"/>
    <n v="10306.51"/>
    <n v="15218.47"/>
    <n v="-69.56"/>
    <n v="514.41"/>
    <n v="6743"/>
    <n v="0"/>
    <x v="0"/>
    <s v="Missing"/>
    <n v="76.575503137043171"/>
    <n v="0.51859759150359186"/>
    <n v="2.588381392395318E-2"/>
    <n v="-3.5000837786010835E-3"/>
  </r>
  <r>
    <s v="UKFI-100156"/>
    <x v="15"/>
    <x v="0"/>
    <x v="5"/>
    <n v="3944.99"/>
    <n v="5960.11"/>
    <n v="5186.53"/>
    <n v="868.64"/>
    <n v="145.13999999999999"/>
    <n v="4474"/>
    <n v="1286"/>
    <x v="1"/>
    <s v="Review"/>
    <n v="131.47130917949096"/>
    <n v="1.5108048436117709"/>
    <n v="3.6790967784455723E-2"/>
    <n v="0.22018813735903006"/>
  </r>
  <r>
    <s v="UKFI-100157"/>
    <x v="15"/>
    <x v="0"/>
    <x v="6"/>
    <n v="16860.759999999998"/>
    <n v="8484.0300000000007"/>
    <n v="3446.42"/>
    <n v="5546.81"/>
    <n v="554.25"/>
    <n v="0"/>
    <n v="0"/>
    <x v="1"/>
    <s v="Review"/>
    <n v="20.440478365150803"/>
    <n v="0.50318194434889063"/>
    <n v="3.2872183697532024E-2"/>
    <n v="0.328977460090767"/>
  </r>
  <r>
    <s v="UKFI-100158"/>
    <x v="15"/>
    <x v="0"/>
    <x v="7"/>
    <n v="12215.46"/>
    <n v="8298.6200000000008"/>
    <n v="19780.11"/>
    <n v="2109.87"/>
    <n v="422.65"/>
    <n v="0"/>
    <n v="1063"/>
    <x v="0"/>
    <s v="Missing"/>
    <n v="161.92685334813427"/>
    <n v="0.67935386796731367"/>
    <n v="3.4599597559158639E-2"/>
    <n v="0.1727212892514895"/>
  </r>
  <r>
    <s v="UKFI-100159"/>
    <x v="15"/>
    <x v="0"/>
    <x v="8"/>
    <n v="22972.5"/>
    <n v="2197.3200000000002"/>
    <n v="16626.849999999999"/>
    <n v="7931.77"/>
    <n v="125.28"/>
    <n v="0"/>
    <n v="0"/>
    <x v="0"/>
    <s v="Missing"/>
    <n v="72.377190118620078"/>
    <n v="9.5650016323865494E-2"/>
    <n v="5.4534769833496574E-3"/>
    <n v="0.34527239090216566"/>
  </r>
  <r>
    <s v="UKFI-100160"/>
    <x v="15"/>
    <x v="0"/>
    <x v="9"/>
    <n v="14787.12"/>
    <n v="1818.76"/>
    <n v="10354.39"/>
    <n v="6895.61"/>
    <n v="274.79000000000002"/>
    <n v="8509"/>
    <n v="1921"/>
    <x v="0"/>
    <s v="Missing"/>
    <n v="70.023033558935069"/>
    <n v="0.12299622915077445"/>
    <n v="1.8583064180178428E-2"/>
    <n v="0.46632542374715286"/>
  </r>
  <r>
    <s v="UKFI-100161"/>
    <x v="16"/>
    <x v="1"/>
    <x v="0"/>
    <n v="1033.3800000000001"/>
    <n v="4729.34"/>
    <n v="359.4"/>
    <n v="396.91"/>
    <n v="48.45"/>
    <n v="7041"/>
    <n v="2918"/>
    <x v="0"/>
    <s v="OK"/>
    <n v="34.779074493409965"/>
    <n v="4.5765739611759466"/>
    <n v="4.6884979388027638E-2"/>
    <n v="0.38408910565329307"/>
  </r>
  <r>
    <s v="UKFI-100162"/>
    <x v="16"/>
    <x v="1"/>
    <x v="1"/>
    <n v="23377.5"/>
    <n v="764.88"/>
    <n v="8354.68"/>
    <n v="6458.69"/>
    <n v="460.67"/>
    <n v="6987"/>
    <n v="0"/>
    <x v="1"/>
    <s v="Missing"/>
    <n v="35.738124264784517"/>
    <n v="3.2718639717677252E-2"/>
    <n v="1.9705699925141696E-2"/>
    <n v="0.27627804512886323"/>
  </r>
  <r>
    <s v="UKFI-100163"/>
    <x v="16"/>
    <x v="1"/>
    <x v="2"/>
    <n v="21926.57"/>
    <n v="2567.2199999999998"/>
    <n v="17247.650000000001"/>
    <n v="-695.04"/>
    <n v="595.74"/>
    <n v="0"/>
    <n v="962"/>
    <x v="0"/>
    <s v="Missing"/>
    <n v="78.660957915442324"/>
    <n v="0.11708260799568741"/>
    <n v="2.7169776212148094E-2"/>
    <n v="-3.1698528315190197E-2"/>
  </r>
  <r>
    <s v="UKFI-100164"/>
    <x v="16"/>
    <x v="1"/>
    <x v="3"/>
    <n v="10891.14"/>
    <n v="6951.12"/>
    <n v="4824.38"/>
    <n v="3066.88"/>
    <n v="97.3"/>
    <n v="0"/>
    <n v="0"/>
    <x v="0"/>
    <s v="OK"/>
    <n v="44.296373015129731"/>
    <n v="0.63823621769621919"/>
    <n v="8.933867345383496E-3"/>
    <n v="0.28159402964244334"/>
  </r>
  <r>
    <s v="UKFI-100165"/>
    <x v="16"/>
    <x v="1"/>
    <x v="4"/>
    <n v="15051.63"/>
    <n v="8146.65"/>
    <n v="13538.87"/>
    <n v="7594.34"/>
    <n v="150.62"/>
    <n v="824"/>
    <n v="1847"/>
    <x v="0"/>
    <s v="OK"/>
    <n v="89.949527061188732"/>
    <n v="0.54124702773055144"/>
    <n v="1.0006889619263827E-2"/>
    <n v="0.50455266306705659"/>
  </r>
  <r>
    <s v="UKFI-100166"/>
    <x v="16"/>
    <x v="1"/>
    <x v="5"/>
    <n v="3933.32"/>
    <n v="17884.009999999998"/>
    <n v="4912.9799999999996"/>
    <n v="8080.37"/>
    <n v="347.79"/>
    <n v="0"/>
    <n v="1286"/>
    <x v="0"/>
    <s v="OK"/>
    <n v="124.90669459896473"/>
    <n v="4.5467976162631052"/>
    <n v="8.8421486174529412E-2"/>
    <n v="2.0543383197909146"/>
  </r>
  <r>
    <s v="UKFI-100167"/>
    <x v="16"/>
    <x v="1"/>
    <x v="6"/>
    <n v="14139.59"/>
    <n v="10731.67"/>
    <n v="14783.68"/>
    <n v="-73.53"/>
    <n v="408.86"/>
    <n v="0"/>
    <n v="0"/>
    <x v="0"/>
    <s v="Missing"/>
    <n v="104.55522401993269"/>
    <n v="0.75898028160646813"/>
    <n v="2.8915972811092826E-2"/>
    <n v="-5.2002922291240414E-3"/>
  </r>
  <r>
    <s v="UKFI-100168"/>
    <x v="16"/>
    <x v="1"/>
    <x v="7"/>
    <n v="7847.27"/>
    <n v="3473.05"/>
    <n v="10897.19"/>
    <n v="650.65"/>
    <n v="139.08000000000001"/>
    <n v="2465"/>
    <n v="0"/>
    <x v="1"/>
    <s v="Review"/>
    <n v="138.86600053266932"/>
    <n v="0.4425806681814185"/>
    <n v="1.772336111794293E-2"/>
    <n v="8.291418544283552E-2"/>
  </r>
  <r>
    <s v="UKFI-100169"/>
    <x v="16"/>
    <x v="1"/>
    <x v="8"/>
    <n v="6747.39"/>
    <n v="6078.68"/>
    <n v="1857.69"/>
    <n v="2947.66"/>
    <n v="225.79"/>
    <n v="0"/>
    <n v="0"/>
    <x v="1"/>
    <s v="Review"/>
    <n v="27.531979031892327"/>
    <n v="0.90089353068371625"/>
    <n v="3.3463309516716833E-2"/>
    <n v="0.43685928929556461"/>
  </r>
  <r>
    <s v="UKFI-100170"/>
    <x v="16"/>
    <x v="1"/>
    <x v="9"/>
    <n v="2283.2199999999998"/>
    <n v="14522.78"/>
    <n v="11875.4"/>
    <n v="5385.96"/>
    <n v="134.12"/>
    <n v="3522"/>
    <n v="1291"/>
    <x v="2"/>
    <s v="OK"/>
    <n v="520.11632694177524"/>
    <n v="6.3606573172975018"/>
    <n v="5.8741601772934721E-2"/>
    <n v="2.358931684200384"/>
  </r>
  <r>
    <s v="UKFI-100171"/>
    <x v="17"/>
    <x v="1"/>
    <x v="0"/>
    <n v="24989.51"/>
    <n v="8724.7900000000009"/>
    <n v="5079.09"/>
    <n v="4648.42"/>
    <n v="126.69"/>
    <n v="4021"/>
    <n v="0"/>
    <x v="1"/>
    <s v="Review"/>
    <n v="20.324888323140392"/>
    <n v="0.34913809834606607"/>
    <n v="5.0697272575572711E-3"/>
    <n v="0.18601485183182864"/>
  </r>
  <r>
    <s v="UKFI-100172"/>
    <x v="17"/>
    <x v="1"/>
    <x v="1"/>
    <n v="9311.2900000000009"/>
    <n v="15914.05"/>
    <n v="9480.2800000000007"/>
    <n v="6830.98"/>
    <n v="434.84"/>
    <n v="0"/>
    <n v="0"/>
    <x v="1"/>
    <s v="OK"/>
    <n v="101.81489353247508"/>
    <n v="1.709113345197067"/>
    <n v="4.6700296092163376E-2"/>
    <n v="0.73362337549362111"/>
  </r>
  <r>
    <s v="UKFI-100173"/>
    <x v="17"/>
    <x v="1"/>
    <x v="2"/>
    <n v="4075.11"/>
    <n v="4841.78"/>
    <n v="18714.740000000002"/>
    <n v="4370.57"/>
    <n v="253.46"/>
    <n v="0"/>
    <n v="1401"/>
    <x v="1"/>
    <s v="Review"/>
    <n v="459.24502651462171"/>
    <n v="1.1881347988152466"/>
    <n v="6.2197094066172444E-2"/>
    <n v="1.0725035643209631"/>
  </r>
  <r>
    <s v="UKFI-100174"/>
    <x v="17"/>
    <x v="1"/>
    <x v="3"/>
    <n v="16537.900000000001"/>
    <n v="12390.27"/>
    <n v="5369.34"/>
    <n v="7037.51"/>
    <n v="580.07000000000005"/>
    <n v="8137"/>
    <n v="0"/>
    <x v="2"/>
    <s v="OK"/>
    <n v="32.466879107988319"/>
    <n v="0.74920455438719546"/>
    <n v="3.5075190925087221E-2"/>
    <n v="0.42553830897514194"/>
  </r>
  <r>
    <s v="UKFI-100175"/>
    <x v="17"/>
    <x v="1"/>
    <x v="4"/>
    <n v="22964.04"/>
    <n v="9850.0400000000009"/>
    <n v="12943.65"/>
    <n v="-1353.95"/>
    <n v="25.13"/>
    <n v="0"/>
    <n v="0"/>
    <x v="2"/>
    <s v="Review"/>
    <n v="56.364864370555004"/>
    <n v="0.42893323648626291"/>
    <n v="1.0943196406207269E-3"/>
    <n v="-5.8959573315496748E-2"/>
  </r>
  <r>
    <s v="UKFI-100176"/>
    <x v="17"/>
    <x v="1"/>
    <x v="5"/>
    <n v="723.97"/>
    <n v="9202.0499999999993"/>
    <n v="7652.05"/>
    <n v="4796.1899999999996"/>
    <n v="401.72"/>
    <n v="8016"/>
    <n v="114"/>
    <x v="0"/>
    <s v="Review"/>
    <n v="1056.9567799770709"/>
    <n v="12.710540492009336"/>
    <n v="0.55488487092006578"/>
    <n v="6.6248463334116048"/>
  </r>
  <r>
    <s v="UKFI-100177"/>
    <x v="17"/>
    <x v="1"/>
    <x v="6"/>
    <n v="18193.72"/>
    <n v="9736.14"/>
    <n v="5947.76"/>
    <n v="3524.38"/>
    <n v="420.23"/>
    <n v="0"/>
    <n v="488"/>
    <x v="0"/>
    <s v="OK"/>
    <n v="32.691280287923526"/>
    <n v="0.53513739905857616"/>
    <n v="2.3097530356628551E-2"/>
    <n v="0.19371409475357432"/>
  </r>
  <r>
    <s v="UKFI-100178"/>
    <x v="17"/>
    <x v="1"/>
    <x v="7"/>
    <n v="6684.25"/>
    <n v="6509.05"/>
    <n v="15960.25"/>
    <n v="-1130.79"/>
    <n v="575.78"/>
    <n v="0"/>
    <n v="2905"/>
    <x v="1"/>
    <s v="Review"/>
    <n v="238.77398361820696"/>
    <n v="0.97378913116654831"/>
    <n v="8.6139806260986648E-2"/>
    <n v="-0.16917230803755096"/>
  </r>
  <r>
    <s v="UKFI-100179"/>
    <x v="17"/>
    <x v="1"/>
    <x v="8"/>
    <n v="24796.03"/>
    <n v="11768.12"/>
    <n v="924.18"/>
    <n v="2458.06"/>
    <n v="229.42"/>
    <n v="0"/>
    <n v="2658"/>
    <x v="2"/>
    <s v="OK"/>
    <n v="3.7271288992633091"/>
    <n v="0.47459694152652671"/>
    <n v="9.2522875637753299E-3"/>
    <n v="9.913119156574661E-2"/>
  </r>
  <r>
    <s v="UKFI-100180"/>
    <x v="17"/>
    <x v="1"/>
    <x v="9"/>
    <n v="19717.22"/>
    <n v="10272.25"/>
    <n v="17201.82"/>
    <n v="-951.02"/>
    <n v="319.25"/>
    <n v="0"/>
    <n v="0"/>
    <x v="1"/>
    <s v="OK"/>
    <n v="87.242623453001983"/>
    <n v="0.52097861666096945"/>
    <n v="1.619143063778768E-2"/>
    <n v="-4.82329659049298E-2"/>
  </r>
  <r>
    <s v="UKFI-100181"/>
    <x v="18"/>
    <x v="1"/>
    <x v="0"/>
    <n v="7369.14"/>
    <n v="9865.9500000000007"/>
    <n v="13264.75"/>
    <n v="-27.1"/>
    <n v="511"/>
    <n v="0"/>
    <n v="2454"/>
    <x v="1"/>
    <s v="OK"/>
    <n v="180.00404389114604"/>
    <n v="1.3388197265895343"/>
    <n v="6.9343234081588892E-2"/>
    <n v="-3.6774983240920921E-3"/>
  </r>
  <r>
    <s v="UKFI-100182"/>
    <x v="18"/>
    <x v="1"/>
    <x v="1"/>
    <n v="14384.05"/>
    <n v="15320.08"/>
    <n v="13637.59"/>
    <n v="3946.19"/>
    <n v="233.39"/>
    <n v="0"/>
    <n v="0"/>
    <x v="0"/>
    <s v="OK"/>
    <n v="94.81050191010182"/>
    <n v="1.0650741620058328"/>
    <n v="1.6225611006635821E-2"/>
    <n v="0.27434484724399599"/>
  </r>
  <r>
    <s v="UKFI-100183"/>
    <x v="18"/>
    <x v="1"/>
    <x v="2"/>
    <n v="8844.52"/>
    <n v="13888.3"/>
    <n v="19110.71"/>
    <n v="2363.73"/>
    <n v="465.27"/>
    <n v="585"/>
    <n v="0"/>
    <x v="2"/>
    <s v="Missing"/>
    <n v="216.07402097570017"/>
    <n v="1.5702717614975148"/>
    <n v="5.2605455129277785E-2"/>
    <n v="0.26725362145147502"/>
  </r>
  <r>
    <s v="UKFI-100184"/>
    <x v="18"/>
    <x v="1"/>
    <x v="3"/>
    <n v="5050.58"/>
    <n v="10628.58"/>
    <n v="7787.43"/>
    <n v="6493.84"/>
    <n v="180.75"/>
    <n v="0"/>
    <n v="0"/>
    <x v="2"/>
    <s v="Missing"/>
    <n v="154.1888258378246"/>
    <n v="2.1044276102942634"/>
    <n v="3.5787968906541429E-2"/>
    <n v="1.2857612393032087"/>
  </r>
  <r>
    <s v="UKFI-100185"/>
    <x v="18"/>
    <x v="1"/>
    <x v="4"/>
    <n v="18621.55"/>
    <n v="5836.87"/>
    <n v="2399.0500000000002"/>
    <n v="-1942.85"/>
    <n v="188.42"/>
    <n v="5996"/>
    <n v="468"/>
    <x v="0"/>
    <s v="OK"/>
    <n v="12.883191785861007"/>
    <n v="0.31344705462219846"/>
    <n v="1.0118384345019615E-2"/>
    <n v="-0.10433342015030972"/>
  </r>
  <r>
    <s v="UKFI-100186"/>
    <x v="18"/>
    <x v="1"/>
    <x v="5"/>
    <n v="13054.8"/>
    <n v="2038.61"/>
    <n v="2065.4899999999998"/>
    <n v="4096.42"/>
    <n v="360.17"/>
    <n v="5415"/>
    <n v="0"/>
    <x v="1"/>
    <s v="Missing"/>
    <n v="15.821690106321046"/>
    <n v="0.15615788828630084"/>
    <n v="2.7589086006679538E-2"/>
    <n v="0.31378649998468"/>
  </r>
  <r>
    <s v="UKFI-100187"/>
    <x v="18"/>
    <x v="1"/>
    <x v="6"/>
    <n v="14208.65"/>
    <n v="17870.599999999999"/>
    <n v="5082.03"/>
    <n v="3732.15"/>
    <n v="412.76"/>
    <n v="0"/>
    <n v="0"/>
    <x v="1"/>
    <s v="Missing"/>
    <n v="35.767155922624596"/>
    <n v="1.2577268072617735"/>
    <n v="2.9049909738082084E-2"/>
    <n v="0.26266745961087085"/>
  </r>
  <r>
    <s v="UKFI-100188"/>
    <x v="18"/>
    <x v="1"/>
    <x v="7"/>
    <n v="7261.07"/>
    <n v="5535.59"/>
    <n v="15718.53"/>
    <n v="1972.37"/>
    <n v="566.80999999999995"/>
    <n v="0"/>
    <n v="1925"/>
    <x v="2"/>
    <s v="Missing"/>
    <n v="216.47677270705285"/>
    <n v="0.76236560176392743"/>
    <n v="7.8061497823323556E-2"/>
    <n v="0.27163627399267598"/>
  </r>
  <r>
    <s v="UKFI-100189"/>
    <x v="18"/>
    <x v="1"/>
    <x v="8"/>
    <n v="21119.53"/>
    <n v="6962.04"/>
    <n v="17285.310000000001"/>
    <n v="2842.45"/>
    <n v="261.22000000000003"/>
    <n v="2330"/>
    <n v="1363"/>
    <x v="1"/>
    <s v="Missing"/>
    <n v="81.845145228137199"/>
    <n v="0.32964938140195355"/>
    <n v="1.2368646461355912E-2"/>
    <n v="0.13458869586586444"/>
  </r>
  <r>
    <s v="UKFI-100190"/>
    <x v="18"/>
    <x v="1"/>
    <x v="9"/>
    <n v="8318.8700000000008"/>
    <n v="13280.76"/>
    <n v="12768.18"/>
    <n v="8645.39"/>
    <n v="470.27"/>
    <n v="5439"/>
    <n v="0"/>
    <x v="1"/>
    <s v="OK"/>
    <n v="153.48454778112892"/>
    <n v="1.5964620194810111"/>
    <n v="5.6530514360724468E-2"/>
    <n v="1.0392505232080798"/>
  </r>
  <r>
    <s v="UKFI-100191"/>
    <x v="19"/>
    <x v="1"/>
    <x v="0"/>
    <n v="24932.99"/>
    <n v="3402.7"/>
    <n v="15422.07"/>
    <n v="-1703.92"/>
    <n v="437.69"/>
    <n v="3534"/>
    <n v="1243"/>
    <x v="1"/>
    <s v="Review"/>
    <n v="61.85407365903567"/>
    <n v="0.13647380438527426"/>
    <n v="1.7554653493223233E-2"/>
    <n v="-6.8339978478313274E-2"/>
  </r>
  <r>
    <s v="UKFI-100192"/>
    <x v="19"/>
    <x v="1"/>
    <x v="1"/>
    <n v="6429.52"/>
    <n v="11924.2"/>
    <n v="14390.16"/>
    <n v="6679.84"/>
    <n v="49.01"/>
    <n v="7951"/>
    <n v="0"/>
    <x v="0"/>
    <s v="OK"/>
    <n v="223.81390834774601"/>
    <n v="1.8546018987420523"/>
    <n v="7.6226530129776399E-3"/>
    <n v="1.0389329218977466"/>
  </r>
  <r>
    <s v="UKFI-100193"/>
    <x v="19"/>
    <x v="1"/>
    <x v="2"/>
    <n v="22439.79"/>
    <n v="9756.93"/>
    <n v="12872.15"/>
    <n v="-1065.2"/>
    <n v="462.53"/>
    <n v="0"/>
    <n v="2700"/>
    <x v="0"/>
    <s v="Review"/>
    <n v="57.363059101711734"/>
    <n v="0.43480487116858046"/>
    <n v="2.0612046725927469E-2"/>
    <n v="-4.7469249935048412E-2"/>
  </r>
  <r>
    <s v="UKFI-100194"/>
    <x v="19"/>
    <x v="1"/>
    <x v="3"/>
    <n v="18940.73"/>
    <n v="17389.759999999998"/>
    <n v="8779.9699999999993"/>
    <n v="-1883.97"/>
    <n v="158.94999999999999"/>
    <n v="0"/>
    <n v="0"/>
    <x v="1"/>
    <s v="Missing"/>
    <n v="46.354971534888037"/>
    <n v="0.91811456052644214"/>
    <n v="8.3919679970096191E-3"/>
    <n v="-9.9466599228224054E-2"/>
  </r>
  <r>
    <s v="UKFI-100195"/>
    <x v="19"/>
    <x v="1"/>
    <x v="4"/>
    <n v="12761.41"/>
    <n v="6340.42"/>
    <n v="783.88"/>
    <n v="-849.96"/>
    <n v="252.51"/>
    <n v="0"/>
    <n v="0"/>
    <x v="1"/>
    <s v="Missing"/>
    <n v="6.142581423212639"/>
    <n v="0.49684321716800889"/>
    <n v="1.9786998458634273E-2"/>
    <n v="-6.6603925428302985E-2"/>
  </r>
  <r>
    <s v="UKFI-100196"/>
    <x v="19"/>
    <x v="1"/>
    <x v="5"/>
    <n v="12331.69"/>
    <n v="8675.69"/>
    <n v="8931.8700000000008"/>
    <n v="5664.4"/>
    <n v="194.75"/>
    <n v="0"/>
    <n v="2961"/>
    <x v="0"/>
    <s v="Missing"/>
    <n v="72.430218404776639"/>
    <n v="0.70352806468537565"/>
    <n v="1.5792644803753579E-2"/>
    <n v="0.45933687921120298"/>
  </r>
  <r>
    <s v="UKFI-100197"/>
    <x v="19"/>
    <x v="1"/>
    <x v="6"/>
    <n v="4526.68"/>
    <n v="17713.43"/>
    <n v="5105.09"/>
    <n v="-81.010000000000005"/>
    <n v="100.28"/>
    <n v="7085"/>
    <n v="0"/>
    <x v="2"/>
    <s v="OK"/>
    <n v="112.77779741444061"/>
    <n v="3.9131173398605599"/>
    <n v="2.2153101169068719E-2"/>
    <n v="-1.7896118126308907E-2"/>
  </r>
  <r>
    <s v="UKFI-100198"/>
    <x v="19"/>
    <x v="1"/>
    <x v="7"/>
    <n v="1215.21"/>
    <n v="11131.1"/>
    <n v="4187.29"/>
    <n v="4514.2299999999996"/>
    <n v="236.36"/>
    <n v="0"/>
    <n v="1190"/>
    <x v="0"/>
    <s v="OK"/>
    <n v="344.57336592029361"/>
    <n v="9.1598159988808519"/>
    <n v="0.1945013619045268"/>
    <n v="3.7147735782292766"/>
  </r>
  <r>
    <s v="UKFI-100199"/>
    <x v="19"/>
    <x v="1"/>
    <x v="8"/>
    <n v="9461.93"/>
    <n v="3707.92"/>
    <n v="2544.91"/>
    <n v="5377.72"/>
    <n v="296.24"/>
    <n v="5234"/>
    <n v="0"/>
    <x v="0"/>
    <s v="OK"/>
    <n v="26.896309738076692"/>
    <n v="0.39187776700947902"/>
    <n v="3.1308623082183025E-2"/>
    <n v="0.56835339090439263"/>
  </r>
  <r>
    <s v="UKFI-100200"/>
    <x v="19"/>
    <x v="1"/>
    <x v="9"/>
    <n v="15625.39"/>
    <n v="14684.54"/>
    <n v="14207.97"/>
    <n v="1271.8900000000001"/>
    <n v="370.62"/>
    <n v="0"/>
    <n v="1332"/>
    <x v="2"/>
    <s v="Missing"/>
    <n v="90.928738418689065"/>
    <n v="0.93978710291391132"/>
    <n v="2.3719087971564232E-2"/>
    <n v="8.1398928282750069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A62FEA-9DAB-465C-BDB6-916684139F6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83:B86" firstHeaderRow="1" firstDataRow="1" firstDataCol="1"/>
  <pivotFields count="17">
    <pivotField showAll="0"/>
    <pivotField showAll="0"/>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items count="11">
        <item x="0"/>
        <item x="1"/>
        <item x="2"/>
        <item x="3"/>
        <item x="4"/>
        <item x="5"/>
        <item x="6"/>
        <item x="7"/>
        <item x="8"/>
        <item x="9"/>
        <item t="default"/>
      </items>
    </pivotField>
    <pivotField numFmtId="164" showAll="0"/>
    <pivotField numFmtId="164" showAll="0"/>
    <pivotField numFmtId="164" showAll="0"/>
    <pivotField numFmtId="164" showAll="0"/>
    <pivotField numFmtId="164" showAll="0"/>
    <pivotField numFmtId="3" showAll="0"/>
    <pivotField numFmtId="3" showAll="0"/>
    <pivotField showAll="0">
      <items count="4">
        <item x="1"/>
        <item x="0"/>
        <item x="2"/>
        <item t="default"/>
      </items>
    </pivotField>
    <pivotField showAll="0"/>
    <pivotField numFmtId="10" showAll="0"/>
    <pivotField numFmtId="10" showAll="0"/>
    <pivotField dataField="1" numFmtId="10" showAll="0"/>
    <pivotField numFmtId="10" showAll="0"/>
  </pivotFields>
  <rowFields count="1">
    <field x="2"/>
  </rowFields>
  <rowItems count="3">
    <i>
      <x v="1"/>
    </i>
    <i>
      <x/>
    </i>
    <i t="grand">
      <x/>
    </i>
  </rowItems>
  <colItems count="1">
    <i/>
  </colItems>
  <dataFields count="1">
    <dataField name="Sum of Fraud_loss_ratio" fld="15" showDataAs="percentOfCol" baseField="2" baseItem="0"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2" count="1" selected="0">
            <x v="1"/>
          </reference>
        </references>
      </pivotArea>
    </chartFormat>
    <chartFormat chart="4" format="14">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E2B288-3B60-4407-80C3-710248F505F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9:B80" firstHeaderRow="1" firstDataRow="1" firstDataCol="1"/>
  <pivotFields count="17">
    <pivotField showAll="0"/>
    <pivotField showAll="0"/>
    <pivotField showAll="0">
      <items count="3">
        <item x="1"/>
        <item x="0"/>
        <item t="default"/>
      </items>
    </pivotField>
    <pivotField axis="axisRow" showAll="0">
      <items count="11">
        <item x="0"/>
        <item x="1"/>
        <item x="2"/>
        <item x="3"/>
        <item x="4"/>
        <item x="5"/>
        <item x="6"/>
        <item x="7"/>
        <item x="8"/>
        <item x="9"/>
        <item t="default"/>
      </items>
    </pivotField>
    <pivotField numFmtId="164" showAll="0"/>
    <pivotField numFmtId="164" showAll="0"/>
    <pivotField numFmtId="164" showAll="0"/>
    <pivotField numFmtId="164" showAll="0"/>
    <pivotField dataField="1" numFmtId="164" showAll="0"/>
    <pivotField numFmtId="3" showAll="0"/>
    <pivotField numFmtId="3" showAll="0"/>
    <pivotField showAll="0">
      <items count="4">
        <item x="1"/>
        <item x="0"/>
        <item x="2"/>
        <item t="default"/>
      </items>
    </pivotField>
    <pivotField showAll="0"/>
    <pivotField numFmtId="10" showAll="0"/>
    <pivotField numFmtId="10" showAll="0"/>
    <pivotField numFmtId="10" showAll="0"/>
    <pivotField numFmtId="10" showAll="0"/>
  </pivotFields>
  <rowFields count="1">
    <field x="3"/>
  </rowFields>
  <rowItems count="11">
    <i>
      <x/>
    </i>
    <i>
      <x v="1"/>
    </i>
    <i>
      <x v="2"/>
    </i>
    <i>
      <x v="3"/>
    </i>
    <i>
      <x v="4"/>
    </i>
    <i>
      <x v="5"/>
    </i>
    <i>
      <x v="6"/>
    </i>
    <i>
      <x v="7"/>
    </i>
    <i>
      <x v="8"/>
    </i>
    <i>
      <x v="9"/>
    </i>
    <i t="grand">
      <x/>
    </i>
  </rowItems>
  <colItems count="1">
    <i/>
  </colItems>
  <dataFields count="1">
    <dataField name="Sum of Reported_Fraud_Losses (£m)" fld="8" baseField="0" baseItem="0" numFmtId="16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CF0F0C-E6EC-41BB-98E0-B5F903576FE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5:C66" firstHeaderRow="0" firstDataRow="1" firstDataCol="0"/>
  <pivotFields count="17">
    <pivotField showAll="0"/>
    <pivotField showAll="0"/>
    <pivotField showAll="0">
      <items count="3">
        <item x="1"/>
        <item x="0"/>
        <item t="default"/>
      </items>
    </pivotField>
    <pivotField showAll="0">
      <items count="11">
        <item x="0"/>
        <item x="1"/>
        <item x="2"/>
        <item x="3"/>
        <item x="4"/>
        <item x="5"/>
        <item x="6"/>
        <item x="7"/>
        <item x="8"/>
        <item x="9"/>
        <item t="default"/>
      </items>
    </pivotField>
    <pivotField numFmtId="164" showAll="0"/>
    <pivotField numFmtId="164" showAll="0"/>
    <pivotField numFmtId="164" showAll="0"/>
    <pivotField dataField="1" numFmtId="164" showAll="0"/>
    <pivotField numFmtId="164" showAll="0"/>
    <pivotField numFmtId="3" showAll="0"/>
    <pivotField numFmtId="3" showAll="0"/>
    <pivotField showAll="0">
      <items count="4">
        <item x="1"/>
        <item x="0"/>
        <item x="2"/>
        <item t="default"/>
      </items>
    </pivotField>
    <pivotField showAll="0"/>
    <pivotField dataField="1" numFmtId="10" showAll="0"/>
    <pivotField dataField="1" numFmtId="10" showAll="0"/>
    <pivotField numFmtId="10" showAll="0"/>
    <pivotField numFmtId="10" showAll="0"/>
  </pivotFields>
  <rowItems count="1">
    <i/>
  </rowItems>
  <colFields count="1">
    <field x="-2"/>
  </colFields>
  <colItems count="3">
    <i>
      <x/>
    </i>
    <i i="1">
      <x v="1"/>
    </i>
    <i i="2">
      <x v="2"/>
    </i>
  </colItems>
  <dataFields count="3">
    <dataField name="Sum of Net_Profit (£m)" fld="7" baseField="0" baseItem="0" numFmtId="164"/>
    <dataField name="Average of Cost to income ratio " fld="13" subtotal="average" baseField="0" baseItem="1" numFmtId="10"/>
    <dataField name="Average of interest income dependency" fld="14" subtotal="average" baseField="0"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E3522D-897B-4FB8-9BC0-58DE503E74D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89:B93" firstHeaderRow="1" firstDataRow="1" firstDataCol="1"/>
  <pivotFields count="17">
    <pivotField showAll="0"/>
    <pivotField showAll="0"/>
    <pivotField showAll="0">
      <items count="3">
        <item x="1"/>
        <item x="0"/>
        <item t="default"/>
      </items>
    </pivotField>
    <pivotField showAll="0">
      <items count="11">
        <item x="0"/>
        <item x="1"/>
        <item x="2"/>
        <item x="3"/>
        <item x="4"/>
        <item x="5"/>
        <item x="6"/>
        <item x="7"/>
        <item x="8"/>
        <item x="9"/>
        <item t="default"/>
      </items>
    </pivotField>
    <pivotField numFmtId="164" showAll="0"/>
    <pivotField numFmtId="164" showAll="0"/>
    <pivotField numFmtId="164" showAll="0"/>
    <pivotField numFmtId="164" showAll="0"/>
    <pivotField dataField="1" numFmtId="164" showAll="0"/>
    <pivotField numFmtId="3" showAll="0"/>
    <pivotField numFmtId="3" showAll="0"/>
    <pivotField axis="axisRow" showAll="0">
      <items count="4">
        <item x="1"/>
        <item x="0"/>
        <item x="2"/>
        <item t="default"/>
      </items>
    </pivotField>
    <pivotField showAll="0"/>
    <pivotField numFmtId="10" showAll="0"/>
    <pivotField numFmtId="10" showAll="0"/>
    <pivotField numFmtId="10" showAll="0"/>
    <pivotField numFmtId="10" showAll="0"/>
  </pivotFields>
  <rowFields count="1">
    <field x="11"/>
  </rowFields>
  <rowItems count="4">
    <i>
      <x/>
    </i>
    <i>
      <x v="1"/>
    </i>
    <i>
      <x v="2"/>
    </i>
    <i t="grand">
      <x/>
    </i>
  </rowItems>
  <colItems count="1">
    <i/>
  </colItems>
  <dataFields count="1">
    <dataField name="Sum of Reported_Fraud_Losses (£m)" fld="8" baseField="0" baseItem="0" numFmtId="164"/>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9877BA-B5E5-47FF-802E-D0ED8702641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7:B38" firstHeaderRow="1" firstDataRow="1" firstDataCol="1"/>
  <pivotFields count="17">
    <pivotField showAll="0"/>
    <pivotField axis="axisRow" showAll="0" measureFilter="1" sortType="ascending">
      <items count="21">
        <item x="13"/>
        <item x="16"/>
        <item x="1"/>
        <item x="11"/>
        <item x="14"/>
        <item x="0"/>
        <item x="2"/>
        <item x="7"/>
        <item x="17"/>
        <item x="6"/>
        <item x="3"/>
        <item x="12"/>
        <item x="19"/>
        <item x="4"/>
        <item x="15"/>
        <item x="5"/>
        <item x="18"/>
        <item x="9"/>
        <item x="10"/>
        <item x="8"/>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items count="11">
        <item x="0"/>
        <item x="1"/>
        <item x="2"/>
        <item x="3"/>
        <item x="4"/>
        <item x="5"/>
        <item x="6"/>
        <item x="7"/>
        <item x="8"/>
        <item x="9"/>
        <item t="default"/>
      </items>
    </pivotField>
    <pivotField numFmtId="164" showAll="0"/>
    <pivotField numFmtId="164" showAll="0"/>
    <pivotField numFmtId="164" showAll="0"/>
    <pivotField numFmtId="164" showAll="0"/>
    <pivotField numFmtId="164" showAll="0"/>
    <pivotField numFmtId="3" showAll="0"/>
    <pivotField numFmtId="3" showAll="0"/>
    <pivotField showAll="0">
      <items count="4">
        <item x="1"/>
        <item x="0"/>
        <item x="2"/>
        <item t="default"/>
      </items>
    </pivotField>
    <pivotField showAll="0"/>
    <pivotField dataField="1" numFmtId="10" showAll="0"/>
    <pivotField numFmtId="10" showAll="0"/>
    <pivotField numFmtId="10" showAll="0"/>
    <pivotField numFmtId="10" showAll="0"/>
  </pivotFields>
  <rowFields count="1">
    <field x="1"/>
  </rowFields>
  <rowItems count="11">
    <i>
      <x v="15"/>
    </i>
    <i>
      <x v="9"/>
    </i>
    <i>
      <x/>
    </i>
    <i>
      <x v="3"/>
    </i>
    <i>
      <x v="18"/>
    </i>
    <i>
      <x v="13"/>
    </i>
    <i>
      <x v="2"/>
    </i>
    <i>
      <x v="8"/>
    </i>
    <i>
      <x v="5"/>
    </i>
    <i>
      <x v="6"/>
    </i>
    <i t="grand">
      <x/>
    </i>
  </rowItems>
  <colItems count="1">
    <i/>
  </colItems>
  <dataFields count="1">
    <dataField name="Sum of Cost to income ratio " fld="13" showDataAs="percentOfTotal" baseField="1" baseItem="0" numFmtId="1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C72AF81-120A-4C04-9FA8-D1083010C9B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1:B62" firstHeaderRow="1" firstDataRow="1" firstDataCol="1"/>
  <pivotFields count="17">
    <pivotField showAll="0"/>
    <pivotField showAll="0"/>
    <pivotField showAll="0">
      <items count="3">
        <item x="1"/>
        <item x="0"/>
        <item t="default"/>
      </items>
    </pivotField>
    <pivotField axis="axisRow" showAll="0" sortType="ascending">
      <items count="11">
        <item x="0"/>
        <item x="1"/>
        <item x="2"/>
        <item x="3"/>
        <item x="4"/>
        <item x="5"/>
        <item x="6"/>
        <item x="7"/>
        <item x="8"/>
        <item x="9"/>
        <item t="default"/>
      </items>
    </pivotField>
    <pivotField numFmtId="164" showAll="0"/>
    <pivotField numFmtId="164" showAll="0"/>
    <pivotField numFmtId="164" showAll="0"/>
    <pivotField numFmtId="164" showAll="0"/>
    <pivotField numFmtId="164" showAll="0"/>
    <pivotField numFmtId="3" showAll="0"/>
    <pivotField numFmtId="3" showAll="0"/>
    <pivotField showAll="0">
      <items count="4">
        <item x="1"/>
        <item x="0"/>
        <item x="2"/>
        <item t="default"/>
      </items>
    </pivotField>
    <pivotField showAll="0"/>
    <pivotField numFmtId="10" showAll="0"/>
    <pivotField dataField="1" numFmtId="10" showAll="0"/>
    <pivotField numFmtId="10" showAll="0"/>
    <pivotField numFmtId="10" showAll="0"/>
  </pivotFields>
  <rowFields count="1">
    <field x="3"/>
  </rowFields>
  <rowItems count="11">
    <i>
      <x/>
    </i>
    <i>
      <x v="1"/>
    </i>
    <i>
      <x v="2"/>
    </i>
    <i>
      <x v="3"/>
    </i>
    <i>
      <x v="4"/>
    </i>
    <i>
      <x v="5"/>
    </i>
    <i>
      <x v="6"/>
    </i>
    <i>
      <x v="7"/>
    </i>
    <i>
      <x v="8"/>
    </i>
    <i>
      <x v="9"/>
    </i>
    <i t="grand">
      <x/>
    </i>
  </rowItems>
  <colItems count="1">
    <i/>
  </colItems>
  <dataFields count="1">
    <dataField name="Sum of interest income dependency" fld="14" showDataAs="percentOfTotal" baseField="3" baseItem="0" numFmtId="10"/>
  </dataFields>
  <chartFormats count="2">
    <chartFormat chart="0" format="3"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6A0858C-763F-4C55-9C8E-22D04AC2B53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4" firstHeaderRow="1" firstDataRow="1" firstDataCol="1"/>
  <pivotFields count="17">
    <pivotField showAll="0"/>
    <pivotField axis="axisRow" showAll="0" measureFilter="1" sortType="descending">
      <items count="21">
        <item x="13"/>
        <item x="16"/>
        <item x="1"/>
        <item x="11"/>
        <item x="14"/>
        <item x="0"/>
        <item x="2"/>
        <item x="7"/>
        <item x="17"/>
        <item x="6"/>
        <item x="3"/>
        <item x="12"/>
        <item x="19"/>
        <item x="4"/>
        <item x="15"/>
        <item x="5"/>
        <item x="18"/>
        <item x="9"/>
        <item x="10"/>
        <item x="8"/>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items count="11">
        <item x="0"/>
        <item x="1"/>
        <item x="2"/>
        <item x="3"/>
        <item x="4"/>
        <item x="5"/>
        <item x="6"/>
        <item x="7"/>
        <item x="8"/>
        <item x="9"/>
        <item t="default"/>
      </items>
    </pivotField>
    <pivotField numFmtId="164" showAll="0"/>
    <pivotField numFmtId="164" showAll="0"/>
    <pivotField numFmtId="164" showAll="0"/>
    <pivotField dataField="1" numFmtId="164" showAll="0"/>
    <pivotField numFmtId="164" showAll="0"/>
    <pivotField numFmtId="3" showAll="0"/>
    <pivotField numFmtId="3" showAll="0"/>
    <pivotField showAll="0">
      <items count="4">
        <item x="1"/>
        <item x="0"/>
        <item x="2"/>
        <item t="default"/>
      </items>
    </pivotField>
    <pivotField showAll="0"/>
    <pivotField numFmtId="10" showAll="0"/>
    <pivotField numFmtId="10" showAll="0"/>
    <pivotField numFmtId="10" showAll="0"/>
    <pivotField numFmtId="10" showAll="0"/>
  </pivotFields>
  <rowFields count="1">
    <field x="1"/>
  </rowFields>
  <rowItems count="11">
    <i>
      <x v="4"/>
    </i>
    <i>
      <x v="2"/>
    </i>
    <i>
      <x v="5"/>
    </i>
    <i>
      <x v="19"/>
    </i>
    <i>
      <x v="10"/>
    </i>
    <i>
      <x v="14"/>
    </i>
    <i>
      <x v="9"/>
    </i>
    <i>
      <x v="13"/>
    </i>
    <i>
      <x v="18"/>
    </i>
    <i>
      <x v="1"/>
    </i>
    <i t="grand">
      <x/>
    </i>
  </rowItems>
  <colItems count="1">
    <i/>
  </colItems>
  <dataFields count="1">
    <dataField name="Sum of Net_Profit (£m)" fld="7" baseField="0" baseItem="0"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664308E-CE3B-4229-A549-69C46C7FF25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6:C97" firstHeaderRow="0" firstDataRow="1" firstDataCol="0"/>
  <pivotFields count="17">
    <pivotField showAll="0"/>
    <pivotField showAll="0"/>
    <pivotField showAll="0">
      <items count="3">
        <item x="1"/>
        <item x="0"/>
        <item t="default"/>
      </items>
    </pivotField>
    <pivotField showAll="0">
      <items count="11">
        <item x="0"/>
        <item x="1"/>
        <item x="2"/>
        <item x="3"/>
        <item x="4"/>
        <item x="5"/>
        <item x="6"/>
        <item x="7"/>
        <item x="8"/>
        <item x="9"/>
        <item t="default"/>
      </items>
    </pivotField>
    <pivotField numFmtId="164" showAll="0"/>
    <pivotField numFmtId="164" showAll="0"/>
    <pivotField numFmtId="164" showAll="0"/>
    <pivotField numFmtId="164" showAll="0"/>
    <pivotField dataField="1" numFmtId="164" showAll="0"/>
    <pivotField dataField="1" numFmtId="3" showAll="0"/>
    <pivotField numFmtId="3" showAll="0"/>
    <pivotField showAll="0">
      <items count="4">
        <item x="1"/>
        <item x="0"/>
        <item x="2"/>
        <item t="default"/>
      </items>
    </pivotField>
    <pivotField showAll="0"/>
    <pivotField numFmtId="10" showAll="0"/>
    <pivotField numFmtId="10" showAll="0"/>
    <pivotField dataField="1" numFmtId="10" showAll="0"/>
    <pivotField numFmtId="10" showAll="0"/>
  </pivotFields>
  <rowItems count="1">
    <i/>
  </rowItems>
  <colFields count="1">
    <field x="-2"/>
  </colFields>
  <colItems count="3">
    <i>
      <x/>
    </i>
    <i i="1">
      <x v="1"/>
    </i>
    <i i="2">
      <x v="2"/>
    </i>
  </colItems>
  <dataFields count="3">
    <dataField name="Sum of Reported_Fraud_Losses (£m)" fld="8" baseField="0" baseItem="0" numFmtId="164"/>
    <dataField name="Average of Suspicious_Transactions" fld="9" subtotal="average" baseField="0" baseItem="1" numFmtId="3"/>
    <dataField name="Max of Fraud_loss_ratio" fld="15" subtotal="max" baseField="0"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6" xr16:uid="{E9F8C89B-18FB-4CB4-A7B4-1722639F1AB9}" autoFormatId="16" applyNumberFormats="0" applyBorderFormats="0" applyFontFormats="0" applyPatternFormats="0" applyAlignmentFormats="0" applyWidthHeightFormats="0">
  <queryTableRefresh nextId="3">
    <queryTableFields count="2">
      <queryTableField id="1" name="Reported_Fraud_Losses (£m)" tableColumnId="1"/>
      <queryTableField id="2" name="Suspicious"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12" xr16:uid="{FC4CB5AD-B5C2-4CF9-8503-E0B434508478}" autoFormatId="16" applyNumberFormats="0" applyBorderFormats="0" applyFontFormats="0" applyPatternFormats="0" applyAlignmentFormats="0" applyWidthHeightFormats="0">
  <queryTableRefresh nextId="3">
    <queryTableFields count="2">
      <queryTableField id="1" name="Cost to income ratio " tableColumnId="1"/>
      <queryTableField id="2" name="sum"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4" xr16:uid="{DD2DED4F-30F7-42EA-BA7D-2EB80AE1D988}" autoFormatId="16" applyNumberFormats="0" applyBorderFormats="0" applyFontFormats="0" applyPatternFormats="0" applyAlignmentFormats="0" applyWidthHeightFormats="0">
  <queryTableRefresh nextId="3">
    <queryTableFields count="2">
      <queryTableField id="1" name="profit margin" tableColumnId="1"/>
      <queryTableField id="2" name="sum"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nk_Type" xr10:uid="{F06EEEAB-6104-48BE-800E-74207AE77CF0}" sourceName="Bank_Type">
  <pivotTables>
    <pivotTable tabId="12" name="PivotTable1"/>
    <pivotTable tabId="12" name="PivotTable2"/>
    <pivotTable tabId="12" name="PivotTable3"/>
    <pivotTable tabId="12" name="PivotTable4"/>
    <pivotTable tabId="12" name="PivotTable5"/>
    <pivotTable tabId="12" name="PivotTable6"/>
    <pivotTable tabId="12" name="PivotTable7"/>
    <pivotTable tabId="12" name="PivotTable8"/>
  </pivotTables>
  <data>
    <tabular pivotCacheId="980255080">
      <items count="2">
        <i x="1" s="1"/>
        <i x="0"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2FBB1CE-6110-4275-8F9F-EADF49285D63}" sourceName="Year">
  <pivotTables>
    <pivotTable tabId="12" name="PivotTable1"/>
    <pivotTable tabId="12" name="PivotTable2"/>
    <pivotTable tabId="12" name="PivotTable4"/>
    <pivotTable tabId="12" name="PivotTable6"/>
    <pivotTable tabId="12" name="PivotTable7"/>
    <pivotTable tabId="12" name="PivotTable8"/>
  </pivotTables>
  <data>
    <tabular pivotCacheId="980255080">
      <items count="10">
        <i x="0" s="1"/>
        <i x="1" s="1"/>
        <i x="2" s="1"/>
        <i x="3" s="1"/>
        <i x="4" s="1"/>
        <i x="5" s="1"/>
        <i x="6" s="1"/>
        <i x="7" s="1"/>
        <i x="8" s="1"/>
        <i x="9"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Rating" xr10:uid="{41E14569-F602-4611-A9C6-EF0E98E404ED}" sourceName="Risk_Rating">
  <pivotTables>
    <pivotTable tabId="12" name="PivotTable1"/>
    <pivotTable tabId="12" name="PivotTable2"/>
    <pivotTable tabId="12" name="PivotTable3"/>
    <pivotTable tabId="12" name="PivotTable4"/>
    <pivotTable tabId="12" name="PivotTable5"/>
    <pivotTable tabId="12" name="PivotTable6"/>
    <pivotTable tabId="12" name="PivotTable7"/>
    <pivotTable tabId="12" name="PivotTable8"/>
  </pivotTables>
  <data>
    <tabular pivotCacheId="980255080">
      <items count="3">
        <i x="1" s="1"/>
        <i x="0" s="1"/>
        <i x="2"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ank_Type" xr10:uid="{6FA35557-4887-4862-B047-D7027A249522}" cache="Slicer_Bank_Type" caption="Bank_Type" style="SlicerStyleLight3" rowHeight="234950"/>
  <slicer name="Year" xr10:uid="{FDEEB828-FCB4-435F-AEAC-7658B34DD1EF}" cache="Slicer_Year" caption="Year" style="SlicerStyleLight3" rowHeight="234950"/>
  <slicer name="Risk_Rating" xr10:uid="{E0E85C34-E7D3-4A46-9F68-CB4A174518FD}" cache="Slicer_Risk_Rating" caption="Risk_Rating" style="SlicerStyleLight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ank_Type 1" xr10:uid="{DE1E1171-8239-419A-A5A9-222BE6E2ADD0}" cache="Slicer_Bank_Type" caption="Bank_Type" style="SlicerStyleLight3" rowHeight="234950"/>
  <slicer name="Year 1" xr10:uid="{FF622878-722E-4516-B3DB-CE335275ED5B}" cache="Slicer_Year" caption="Year" style="SlicerStyleLight3" rowHeight="234950"/>
  <slicer name="Risk_Rating 1" xr10:uid="{132677AD-CDFF-47FA-BAFD-55C2839CE53C}" cache="Slicer_Risk_Rating" caption="Risk_Rating" style="SlicerStyleLight3"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ank_Type 2" xr10:uid="{D6746804-E3F8-4B03-B04C-9887B4DA6307}" cache="Slicer_Bank_Type" caption="Bank_Type" style="SlicerStyleLight3" rowHeight="234950"/>
  <slicer name="Year 2" xr10:uid="{6931C31C-36D1-4D4F-85B9-2C234014CB36}" cache="Slicer_Year" caption="Year" style="SlicerStyleLight3" rowHeight="234950"/>
  <slicer name="Risk_Rating 2" xr10:uid="{CFD67A41-41DE-4EA3-9FF1-2144F794DD54}" cache="Slicer_Risk_Rating" caption="Risk_Rating" style="SlicerStyleLight3"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CF551E-9DE4-470F-9907-84883E3C2EEC}" name="Table1" displayName="Table1" ref="A1:Q201" totalsRowShown="0" headerRowDxfId="15" headerRowBorderDxfId="14" tableBorderDxfId="13">
  <autoFilter ref="A1:Q201" xr:uid="{00000000-0001-0000-0000-000000000000}"/>
  <tableColumns count="17">
    <tableColumn id="1" xr3:uid="{0BE2BB5C-E9E5-4A72-8371-C45BC9FA44C1}" name="Institution_ID"/>
    <tableColumn id="2" xr3:uid="{6CFDEE04-39F6-4D3F-AFB1-708E26D52CA5}" name="Bank_Name"/>
    <tableColumn id="15" xr3:uid="{A658AF4A-FEB1-416E-A901-C8CE1B6A2AF9}" name="Bank_Type" dataDxfId="12">
      <calculatedColumnFormula>IF(OR(B2="Atom Bank",B2="Monzo Bank",B2="Starling bank",B2="Revolut UK"),"Digital","Traditional")</calculatedColumnFormula>
    </tableColumn>
    <tableColumn id="3" xr3:uid="{C8AD2352-6D87-415B-9C9E-96CDCCCE079E}" name="Year"/>
    <tableColumn id="4" xr3:uid="{6B22C4EF-F2F8-4AD6-ABD7-33D688A308A8}" name="Total_Revenue (£m)" dataDxfId="11"/>
    <tableColumn id="5" xr3:uid="{DE1B0746-B355-4027-8680-FBB6B6B60964}" name="Interest_Income (£m)" dataDxfId="10"/>
    <tableColumn id="6" xr3:uid="{A1D89C6D-CF35-4312-8D8A-0C30CC7A79CF}" name="Operating_Expenses (£m)" dataDxfId="9"/>
    <tableColumn id="7" xr3:uid="{53E4BE4F-FBA1-40A8-8633-0057BA5CE1B6}" name="Net_Profit (£m)" dataDxfId="8"/>
    <tableColumn id="8" xr3:uid="{60604641-69B9-41F1-B71B-0ADD712279A6}" name="Reported_Fraud_Losses (£m)" dataDxfId="7"/>
    <tableColumn id="9" xr3:uid="{1D6019B0-D18D-4039-9605-DC09696808D3}" name="Suspicious_Transactions" dataDxfId="6"/>
    <tableColumn id="10" xr3:uid="{1795BF06-68D5-4D07-A3B3-E9EF0B8D66DE}" name="Customer_Complaints" dataDxfId="5"/>
    <tableColumn id="11" xr3:uid="{CC9E788C-C845-4EB3-86B4-7CB52193902B}" name="Risk_Rating"/>
    <tableColumn id="12" xr3:uid="{C57C2FB1-8479-413A-913C-2C61D2F5358A}" name="Data_Quality_Flag"/>
    <tableColumn id="13" xr3:uid="{D696F74B-B8B1-439B-90C1-B7DFE92577A6}" name="Cost to income ratio " dataDxfId="4" dataCellStyle="Percent">
      <calculatedColumnFormula>G2/E2*100</calculatedColumnFormula>
    </tableColumn>
    <tableColumn id="14" xr3:uid="{6D1FBC0E-2EAF-4C71-A6CF-1403ADC06DB7}" name="interest income dependency" dataDxfId="3">
      <calculatedColumnFormula>F2/E2</calculatedColumnFormula>
    </tableColumn>
    <tableColumn id="16" xr3:uid="{A5BB36F2-147A-464E-86DD-3E8BF2EF825B}" name="Fraud_loss_ratio" dataDxfId="2">
      <calculatedColumnFormula>I2/E2</calculatedColumnFormula>
    </tableColumn>
    <tableColumn id="17" xr3:uid="{C0C06ABB-EA5C-464F-915A-B39C2963B7E8}" name="profit margin" dataDxfId="1">
      <calculatedColumnFormula>H2/E2</calculatedColumnFormula>
    </tableColumn>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CFFFB03-3533-496C-88C4-4814564AD971}" name="Table1__3" displayName="Table1__3" ref="D1:E201" tableType="queryTable" totalsRowShown="0">
  <autoFilter ref="D1:E201" xr:uid="{1CFFFB03-3533-496C-88C4-4814564AD971}"/>
  <tableColumns count="2">
    <tableColumn id="1" xr3:uid="{995A4062-F493-45F3-BA07-B2DB7A3D53AF}" uniqueName="1" name="Reported_Fraud_Losses (£m)" queryTableFieldId="1" dataDxfId="20"/>
    <tableColumn id="2" xr3:uid="{94BAAF70-0A7E-4B2A-AD7A-D3F5F29066CC}" uniqueName="2" name="Suspicious" queryTableField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0DA945F-1CB7-4918-B6FC-AB2CC91268A7}" name="Table1__9" displayName="Table1__9" ref="A1:B201" tableType="queryTable" totalsRowShown="0">
  <autoFilter ref="A1:B201" xr:uid="{30DA945F-1CB7-4918-B6FC-AB2CC91268A7}"/>
  <tableColumns count="2">
    <tableColumn id="1" xr3:uid="{20D4DA42-2469-4570-B42F-BB6B488211BD}" uniqueName="1" name="Cost to income ratio " queryTableFieldId="1" dataDxfId="19" dataCellStyle="Percent"/>
    <tableColumn id="2" xr3:uid="{A1F84045-6C7A-4921-8748-3D8F3C233464}" uniqueName="2" name="sum" queryTableFieldId="2" dataDxf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2CFF67A-BE4A-421A-A448-3A5C53313449}" name="Table1__12" displayName="Table1__12" ref="N1:O201" tableType="queryTable" totalsRowShown="0">
  <autoFilter ref="N1:O201" xr:uid="{72CFF67A-BE4A-421A-A448-3A5C53313449}"/>
  <tableColumns count="2">
    <tableColumn id="1" xr3:uid="{21EE6B01-D94E-4766-9561-F10D72872716}" uniqueName="1" name="profit margin" queryTableFieldId="1" dataDxfId="17"/>
    <tableColumn id="2" xr3:uid="{4394398B-90E6-4DDD-8B8D-AEF5FAF20C86}" uniqueName="2" name="sum" queryTableFieldId="2" dataDxfId="16"/>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4.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C4C0F-CF97-4ACE-8BEF-59222A232252}">
  <dimension ref="A1:L201"/>
  <sheetViews>
    <sheetView workbookViewId="0">
      <selection activeCell="N15" sqref="N15"/>
    </sheetView>
  </sheetViews>
  <sheetFormatPr defaultRowHeight="14.4" x14ac:dyDescent="0.3"/>
  <sheetData>
    <row r="1" spans="1:12" x14ac:dyDescent="0.3">
      <c r="A1" s="2" t="s">
        <v>0</v>
      </c>
      <c r="B1" s="2" t="s">
        <v>1</v>
      </c>
      <c r="C1" s="2" t="s">
        <v>2</v>
      </c>
      <c r="D1" s="2" t="s">
        <v>3</v>
      </c>
      <c r="E1" s="2" t="s">
        <v>4</v>
      </c>
      <c r="F1" s="2" t="s">
        <v>5</v>
      </c>
      <c r="G1" s="2" t="s">
        <v>6</v>
      </c>
      <c r="H1" s="2" t="s">
        <v>7</v>
      </c>
      <c r="I1" s="2" t="s">
        <v>8</v>
      </c>
      <c r="J1" s="2" t="s">
        <v>9</v>
      </c>
      <c r="K1" s="2" t="s">
        <v>10</v>
      </c>
      <c r="L1" s="2" t="s">
        <v>11</v>
      </c>
    </row>
    <row r="2" spans="1:12" x14ac:dyDescent="0.3">
      <c r="A2" t="s">
        <v>12</v>
      </c>
      <c r="B2" t="s">
        <v>212</v>
      </c>
      <c r="C2" t="s">
        <v>243</v>
      </c>
      <c r="D2">
        <v>7238.22</v>
      </c>
      <c r="E2">
        <v>4173.1499999999996</v>
      </c>
      <c r="F2">
        <v>14808.48</v>
      </c>
      <c r="G2">
        <v>5443.69</v>
      </c>
      <c r="H2">
        <v>535.85</v>
      </c>
      <c r="I2">
        <v>1524</v>
      </c>
      <c r="J2">
        <v>180</v>
      </c>
      <c r="K2" t="s">
        <v>250</v>
      </c>
      <c r="L2" t="s">
        <v>255</v>
      </c>
    </row>
    <row r="3" spans="1:12" x14ac:dyDescent="0.3">
      <c r="A3" t="s">
        <v>13</v>
      </c>
      <c r="B3" t="s">
        <v>212</v>
      </c>
      <c r="C3">
        <v>2016</v>
      </c>
      <c r="D3">
        <v>14250.5</v>
      </c>
      <c r="E3">
        <v>12945.15</v>
      </c>
      <c r="F3">
        <v>14116.1</v>
      </c>
      <c r="G3">
        <v>2614.7199999999998</v>
      </c>
      <c r="H3">
        <v>272.27999999999997</v>
      </c>
      <c r="J3" t="s">
        <v>249</v>
      </c>
      <c r="K3" t="s">
        <v>251</v>
      </c>
      <c r="L3" t="s">
        <v>256</v>
      </c>
    </row>
    <row r="4" spans="1:12" x14ac:dyDescent="0.3">
      <c r="A4" t="s">
        <v>14</v>
      </c>
      <c r="B4" t="s">
        <v>212</v>
      </c>
      <c r="C4">
        <v>2017</v>
      </c>
      <c r="D4">
        <v>8746.57</v>
      </c>
      <c r="E4">
        <v>1850.88</v>
      </c>
      <c r="F4">
        <v>2205.31</v>
      </c>
      <c r="G4">
        <v>7322.44</v>
      </c>
      <c r="H4">
        <v>364.22</v>
      </c>
      <c r="I4">
        <v>811</v>
      </c>
      <c r="J4">
        <v>2246</v>
      </c>
      <c r="K4" t="s">
        <v>252</v>
      </c>
      <c r="L4" t="s">
        <v>255</v>
      </c>
    </row>
    <row r="5" spans="1:12" x14ac:dyDescent="0.3">
      <c r="A5" t="s">
        <v>15</v>
      </c>
      <c r="B5" t="s">
        <v>212</v>
      </c>
      <c r="C5">
        <v>2018</v>
      </c>
      <c r="D5">
        <v>15653.73</v>
      </c>
      <c r="E5">
        <v>15538.38</v>
      </c>
      <c r="F5">
        <v>11673.84</v>
      </c>
      <c r="G5">
        <v>5750.29</v>
      </c>
      <c r="H5">
        <v>32.270000000000003</v>
      </c>
      <c r="I5">
        <v>3833</v>
      </c>
      <c r="J5">
        <v>376</v>
      </c>
      <c r="K5" t="s">
        <v>250</v>
      </c>
      <c r="L5" t="s">
        <v>256</v>
      </c>
    </row>
    <row r="6" spans="1:12" x14ac:dyDescent="0.3">
      <c r="A6" t="s">
        <v>16</v>
      </c>
      <c r="B6" t="s">
        <v>212</v>
      </c>
      <c r="C6">
        <v>2019</v>
      </c>
      <c r="D6">
        <v>9438.39</v>
      </c>
      <c r="E6">
        <v>6789.22</v>
      </c>
      <c r="F6">
        <v>4427.29</v>
      </c>
      <c r="G6">
        <v>936.76</v>
      </c>
      <c r="H6">
        <v>562.30999999999995</v>
      </c>
      <c r="J6">
        <v>2237</v>
      </c>
      <c r="K6" t="s">
        <v>253</v>
      </c>
      <c r="L6" t="s">
        <v>256</v>
      </c>
    </row>
    <row r="7" spans="1:12" x14ac:dyDescent="0.3">
      <c r="A7" t="s">
        <v>17</v>
      </c>
      <c r="B7" t="s">
        <v>212</v>
      </c>
      <c r="C7">
        <v>2020</v>
      </c>
      <c r="D7">
        <v>16179.99</v>
      </c>
      <c r="E7">
        <v>10113.709999999999</v>
      </c>
      <c r="F7">
        <v>13786.9</v>
      </c>
      <c r="G7">
        <v>7271.37</v>
      </c>
      <c r="H7">
        <v>466.72</v>
      </c>
      <c r="J7" t="s">
        <v>249</v>
      </c>
      <c r="K7" t="s">
        <v>251</v>
      </c>
      <c r="L7" t="s">
        <v>255</v>
      </c>
    </row>
    <row r="8" spans="1:12" x14ac:dyDescent="0.3">
      <c r="A8" t="s">
        <v>18</v>
      </c>
      <c r="B8" t="s">
        <v>212</v>
      </c>
      <c r="C8">
        <v>2021</v>
      </c>
      <c r="D8">
        <v>21971.01</v>
      </c>
      <c r="E8">
        <v>5801.27</v>
      </c>
      <c r="F8">
        <v>13212.14</v>
      </c>
      <c r="G8">
        <v>2351.9499999999998</v>
      </c>
      <c r="H8">
        <v>549.16</v>
      </c>
      <c r="J8">
        <v>1134</v>
      </c>
      <c r="K8" t="s">
        <v>253</v>
      </c>
      <c r="L8" t="s">
        <v>257</v>
      </c>
    </row>
    <row r="9" spans="1:12" x14ac:dyDescent="0.3">
      <c r="A9" t="s">
        <v>19</v>
      </c>
      <c r="B9" t="s">
        <v>212</v>
      </c>
      <c r="C9">
        <v>2022</v>
      </c>
      <c r="D9">
        <v>14822.36</v>
      </c>
      <c r="E9">
        <v>16181.25</v>
      </c>
      <c r="F9">
        <v>8168.19</v>
      </c>
      <c r="G9">
        <v>412.53</v>
      </c>
      <c r="H9">
        <v>598.53</v>
      </c>
      <c r="I9">
        <v>8448</v>
      </c>
      <c r="J9">
        <v>422</v>
      </c>
      <c r="K9" t="s">
        <v>250</v>
      </c>
      <c r="L9" t="s">
        <v>255</v>
      </c>
    </row>
    <row r="10" spans="1:12" x14ac:dyDescent="0.3">
      <c r="A10" t="s">
        <v>20</v>
      </c>
      <c r="B10" t="s">
        <v>212</v>
      </c>
      <c r="C10">
        <v>2023</v>
      </c>
      <c r="D10">
        <v>10842.92</v>
      </c>
      <c r="E10">
        <v>1330.79</v>
      </c>
      <c r="F10">
        <v>7817.9</v>
      </c>
      <c r="G10">
        <v>8957.34</v>
      </c>
      <c r="H10">
        <v>319.82</v>
      </c>
      <c r="J10" t="s">
        <v>249</v>
      </c>
      <c r="K10" t="s">
        <v>251</v>
      </c>
      <c r="L10" t="s">
        <v>255</v>
      </c>
    </row>
    <row r="11" spans="1:12" x14ac:dyDescent="0.3">
      <c r="A11" t="s">
        <v>21</v>
      </c>
      <c r="B11" t="s">
        <v>212</v>
      </c>
      <c r="C11">
        <v>2024</v>
      </c>
      <c r="D11">
        <v>579.51</v>
      </c>
      <c r="E11">
        <v>13053.24</v>
      </c>
      <c r="F11">
        <v>14477.71</v>
      </c>
      <c r="G11">
        <v>8690.77</v>
      </c>
      <c r="H11">
        <v>458.37</v>
      </c>
      <c r="J11" t="s">
        <v>249</v>
      </c>
      <c r="K11" t="s">
        <v>254</v>
      </c>
      <c r="L11" t="s">
        <v>257</v>
      </c>
    </row>
    <row r="12" spans="1:12" x14ac:dyDescent="0.3">
      <c r="A12" t="s">
        <v>22</v>
      </c>
      <c r="B12" t="s">
        <v>213</v>
      </c>
      <c r="C12">
        <v>2015</v>
      </c>
      <c r="D12">
        <v>4457.95</v>
      </c>
      <c r="E12">
        <v>17172.3</v>
      </c>
      <c r="F12">
        <v>18471.95</v>
      </c>
      <c r="G12">
        <v>8103.43</v>
      </c>
      <c r="H12">
        <v>361.37</v>
      </c>
      <c r="J12" t="s">
        <v>249</v>
      </c>
      <c r="K12" t="s">
        <v>251</v>
      </c>
      <c r="L12" t="s">
        <v>255</v>
      </c>
    </row>
    <row r="13" spans="1:12" x14ac:dyDescent="0.3">
      <c r="A13" t="s">
        <v>23</v>
      </c>
      <c r="B13" t="s">
        <v>214</v>
      </c>
      <c r="C13">
        <v>2016</v>
      </c>
      <c r="D13">
        <v>23700.26</v>
      </c>
      <c r="E13">
        <v>1724.63</v>
      </c>
      <c r="F13">
        <v>9874.01</v>
      </c>
      <c r="G13">
        <v>-1238.6600000000001</v>
      </c>
      <c r="H13">
        <v>457.56</v>
      </c>
      <c r="J13" t="s">
        <v>249</v>
      </c>
      <c r="K13" t="s">
        <v>254</v>
      </c>
      <c r="L13" t="s">
        <v>255</v>
      </c>
    </row>
    <row r="14" spans="1:12" x14ac:dyDescent="0.3">
      <c r="A14" t="s">
        <v>24</v>
      </c>
      <c r="B14" t="s">
        <v>213</v>
      </c>
      <c r="C14">
        <v>2017</v>
      </c>
      <c r="D14">
        <v>10866.88</v>
      </c>
      <c r="E14">
        <v>3970.01</v>
      </c>
      <c r="F14">
        <v>10924.13</v>
      </c>
      <c r="G14">
        <v>6029.24</v>
      </c>
      <c r="H14">
        <v>124.68</v>
      </c>
      <c r="I14">
        <v>5207</v>
      </c>
      <c r="J14" t="s">
        <v>249</v>
      </c>
      <c r="K14" t="s">
        <v>252</v>
      </c>
      <c r="L14" t="s">
        <v>257</v>
      </c>
    </row>
    <row r="15" spans="1:12" x14ac:dyDescent="0.3">
      <c r="A15" t="s">
        <v>25</v>
      </c>
      <c r="B15" t="s">
        <v>213</v>
      </c>
      <c r="C15">
        <v>2018</v>
      </c>
      <c r="D15">
        <v>2068.63</v>
      </c>
      <c r="E15">
        <v>574.41</v>
      </c>
      <c r="F15">
        <v>11212.25</v>
      </c>
      <c r="G15">
        <v>4472.84</v>
      </c>
      <c r="H15">
        <v>9.2799999999999994</v>
      </c>
      <c r="J15">
        <v>326</v>
      </c>
      <c r="K15" t="s">
        <v>251</v>
      </c>
      <c r="L15" t="s">
        <v>255</v>
      </c>
    </row>
    <row r="16" spans="1:12" x14ac:dyDescent="0.3">
      <c r="A16" t="s">
        <v>26</v>
      </c>
      <c r="B16" t="s">
        <v>213</v>
      </c>
      <c r="C16">
        <v>2019</v>
      </c>
      <c r="D16">
        <v>12392.66</v>
      </c>
      <c r="E16">
        <v>9798.36</v>
      </c>
      <c r="F16">
        <v>14550.05</v>
      </c>
      <c r="G16">
        <v>7706.21</v>
      </c>
      <c r="H16">
        <v>347.85</v>
      </c>
      <c r="I16">
        <v>4081</v>
      </c>
      <c r="J16">
        <v>1717</v>
      </c>
      <c r="K16" t="s">
        <v>250</v>
      </c>
      <c r="L16" t="s">
        <v>255</v>
      </c>
    </row>
    <row r="17" spans="1:12" x14ac:dyDescent="0.3">
      <c r="A17" t="s">
        <v>27</v>
      </c>
      <c r="B17" t="s">
        <v>213</v>
      </c>
      <c r="C17">
        <v>2020</v>
      </c>
      <c r="D17">
        <v>10572.01</v>
      </c>
      <c r="E17">
        <v>15576.29</v>
      </c>
      <c r="F17">
        <v>1367.17</v>
      </c>
      <c r="G17">
        <v>5188.01</v>
      </c>
      <c r="H17">
        <v>389.48</v>
      </c>
      <c r="I17">
        <v>1093</v>
      </c>
      <c r="J17">
        <v>1439</v>
      </c>
      <c r="K17" t="s">
        <v>253</v>
      </c>
      <c r="L17" t="s">
        <v>255</v>
      </c>
    </row>
    <row r="18" spans="1:12" x14ac:dyDescent="0.3">
      <c r="A18" t="s">
        <v>28</v>
      </c>
      <c r="B18" t="s">
        <v>213</v>
      </c>
      <c r="C18">
        <v>2021</v>
      </c>
      <c r="D18">
        <v>10836.1</v>
      </c>
      <c r="E18">
        <v>5158.1000000000004</v>
      </c>
      <c r="F18">
        <v>5221.1899999999996</v>
      </c>
      <c r="G18">
        <v>8155.92</v>
      </c>
      <c r="H18">
        <v>268.66000000000003</v>
      </c>
      <c r="J18">
        <v>2721</v>
      </c>
      <c r="K18" t="s">
        <v>250</v>
      </c>
      <c r="L18" t="s">
        <v>255</v>
      </c>
    </row>
    <row r="19" spans="1:12" x14ac:dyDescent="0.3">
      <c r="A19" t="s">
        <v>29</v>
      </c>
      <c r="B19" t="s">
        <v>213</v>
      </c>
      <c r="C19">
        <v>2022</v>
      </c>
      <c r="D19">
        <v>5736.81</v>
      </c>
      <c r="E19">
        <v>7338.52</v>
      </c>
      <c r="F19">
        <v>1455.12</v>
      </c>
      <c r="G19">
        <v>2168.6999999999998</v>
      </c>
      <c r="H19">
        <v>591.26</v>
      </c>
      <c r="I19">
        <v>4445</v>
      </c>
      <c r="J19" t="s">
        <v>249</v>
      </c>
      <c r="K19" t="s">
        <v>254</v>
      </c>
      <c r="L19" t="s">
        <v>257</v>
      </c>
    </row>
    <row r="20" spans="1:12" x14ac:dyDescent="0.3">
      <c r="A20" t="s">
        <v>30</v>
      </c>
      <c r="B20" t="s">
        <v>213</v>
      </c>
      <c r="C20">
        <v>2023</v>
      </c>
      <c r="D20">
        <v>7769.34</v>
      </c>
      <c r="E20">
        <v>17443.03</v>
      </c>
      <c r="F20">
        <v>11709.85</v>
      </c>
      <c r="G20">
        <v>3964.15</v>
      </c>
      <c r="H20">
        <v>450.05</v>
      </c>
      <c r="J20" t="s">
        <v>249</v>
      </c>
      <c r="K20" t="s">
        <v>254</v>
      </c>
      <c r="L20" t="s">
        <v>257</v>
      </c>
    </row>
    <row r="21" spans="1:12" x14ac:dyDescent="0.3">
      <c r="A21" t="s">
        <v>31</v>
      </c>
      <c r="B21" t="s">
        <v>213</v>
      </c>
      <c r="C21">
        <v>2024</v>
      </c>
      <c r="D21">
        <v>2462.73</v>
      </c>
      <c r="E21">
        <v>3507.68</v>
      </c>
      <c r="F21">
        <v>12022.19</v>
      </c>
      <c r="G21">
        <v>5427.34</v>
      </c>
      <c r="H21">
        <v>144.94999999999999</v>
      </c>
      <c r="J21">
        <v>2421</v>
      </c>
      <c r="K21" t="s">
        <v>254</v>
      </c>
      <c r="L21" t="s">
        <v>255</v>
      </c>
    </row>
    <row r="22" spans="1:12" x14ac:dyDescent="0.3">
      <c r="A22" t="s">
        <v>32</v>
      </c>
      <c r="B22" t="s">
        <v>215</v>
      </c>
      <c r="C22">
        <v>2015</v>
      </c>
      <c r="D22">
        <v>13308.18</v>
      </c>
      <c r="E22">
        <v>16837.77</v>
      </c>
      <c r="F22">
        <v>4323.91</v>
      </c>
      <c r="G22">
        <v>5878.11</v>
      </c>
      <c r="H22">
        <v>147.02000000000001</v>
      </c>
      <c r="J22" t="s">
        <v>249</v>
      </c>
      <c r="K22" t="s">
        <v>252</v>
      </c>
      <c r="L22" t="s">
        <v>256</v>
      </c>
    </row>
    <row r="23" spans="1:12" x14ac:dyDescent="0.3">
      <c r="A23" t="s">
        <v>33</v>
      </c>
      <c r="B23" t="s">
        <v>215</v>
      </c>
      <c r="C23">
        <v>2016</v>
      </c>
      <c r="D23">
        <v>728.23</v>
      </c>
      <c r="E23">
        <v>11256.63</v>
      </c>
      <c r="F23">
        <v>11390.97</v>
      </c>
      <c r="G23">
        <v>-900.21</v>
      </c>
      <c r="H23">
        <v>324.89</v>
      </c>
      <c r="I23">
        <v>8388</v>
      </c>
      <c r="J23" t="s">
        <v>249</v>
      </c>
      <c r="K23" t="s">
        <v>250</v>
      </c>
      <c r="L23" t="s">
        <v>255</v>
      </c>
    </row>
    <row r="24" spans="1:12" x14ac:dyDescent="0.3">
      <c r="A24" t="s">
        <v>34</v>
      </c>
      <c r="B24" t="s">
        <v>215</v>
      </c>
      <c r="C24">
        <v>2017</v>
      </c>
      <c r="D24">
        <v>20926.75</v>
      </c>
      <c r="E24">
        <v>12723.01</v>
      </c>
      <c r="F24">
        <v>12350.05</v>
      </c>
      <c r="G24">
        <v>8859.56</v>
      </c>
      <c r="H24">
        <v>394.12</v>
      </c>
      <c r="I24">
        <v>228</v>
      </c>
      <c r="J24">
        <v>2767</v>
      </c>
      <c r="K24" t="s">
        <v>253</v>
      </c>
      <c r="L24" t="s">
        <v>256</v>
      </c>
    </row>
    <row r="25" spans="1:12" x14ac:dyDescent="0.3">
      <c r="A25" t="s">
        <v>35</v>
      </c>
      <c r="B25" t="s">
        <v>215</v>
      </c>
      <c r="C25">
        <v>2018</v>
      </c>
      <c r="D25">
        <v>14053.98</v>
      </c>
      <c r="E25">
        <v>5047.8</v>
      </c>
      <c r="F25">
        <v>12215.15</v>
      </c>
      <c r="G25">
        <v>5893.73</v>
      </c>
      <c r="H25">
        <v>126.14</v>
      </c>
      <c r="I25">
        <v>4425</v>
      </c>
      <c r="J25">
        <v>1078</v>
      </c>
      <c r="K25" t="s">
        <v>250</v>
      </c>
      <c r="L25" t="s">
        <v>257</v>
      </c>
    </row>
    <row r="26" spans="1:12" x14ac:dyDescent="0.3">
      <c r="A26" t="s">
        <v>36</v>
      </c>
      <c r="B26" t="s">
        <v>215</v>
      </c>
      <c r="C26">
        <v>2019</v>
      </c>
      <c r="D26">
        <v>586.87</v>
      </c>
      <c r="E26">
        <v>13925.92</v>
      </c>
      <c r="F26">
        <v>12851.13</v>
      </c>
      <c r="G26">
        <v>881.51</v>
      </c>
      <c r="H26">
        <v>446.03</v>
      </c>
      <c r="J26">
        <v>508</v>
      </c>
      <c r="K26" t="s">
        <v>253</v>
      </c>
      <c r="L26" t="s">
        <v>257</v>
      </c>
    </row>
    <row r="27" spans="1:12" x14ac:dyDescent="0.3">
      <c r="A27" t="s">
        <v>37</v>
      </c>
      <c r="B27" t="s">
        <v>216</v>
      </c>
      <c r="C27">
        <v>2020</v>
      </c>
      <c r="D27">
        <v>14036.86</v>
      </c>
      <c r="E27">
        <v>7850.2</v>
      </c>
      <c r="F27">
        <v>1124.03</v>
      </c>
      <c r="G27">
        <v>2011.17</v>
      </c>
      <c r="H27">
        <v>560.19000000000005</v>
      </c>
      <c r="I27">
        <v>753</v>
      </c>
      <c r="J27">
        <v>910</v>
      </c>
      <c r="K27" t="s">
        <v>250</v>
      </c>
      <c r="L27" t="s">
        <v>256</v>
      </c>
    </row>
    <row r="28" spans="1:12" x14ac:dyDescent="0.3">
      <c r="A28" t="s">
        <v>38</v>
      </c>
      <c r="B28" t="s">
        <v>215</v>
      </c>
      <c r="C28">
        <v>2021</v>
      </c>
      <c r="D28">
        <v>10456.25</v>
      </c>
      <c r="E28">
        <v>11247.77</v>
      </c>
      <c r="F28">
        <v>3344.7</v>
      </c>
      <c r="G28">
        <v>8228.69</v>
      </c>
      <c r="H28">
        <v>519.44000000000005</v>
      </c>
      <c r="I28">
        <v>3000</v>
      </c>
      <c r="J28">
        <v>151</v>
      </c>
      <c r="K28" t="s">
        <v>251</v>
      </c>
      <c r="L28" t="s">
        <v>256</v>
      </c>
    </row>
    <row r="29" spans="1:12" x14ac:dyDescent="0.3">
      <c r="A29" t="s">
        <v>39</v>
      </c>
      <c r="B29" t="s">
        <v>215</v>
      </c>
      <c r="C29">
        <v>2022</v>
      </c>
      <c r="D29">
        <v>20363.36</v>
      </c>
      <c r="E29">
        <v>4949.1400000000003</v>
      </c>
      <c r="F29">
        <v>15811.28</v>
      </c>
      <c r="G29">
        <v>-810.95</v>
      </c>
      <c r="H29">
        <v>523.94000000000005</v>
      </c>
      <c r="J29" t="s">
        <v>249</v>
      </c>
      <c r="K29" t="s">
        <v>251</v>
      </c>
      <c r="L29" t="s">
        <v>256</v>
      </c>
    </row>
    <row r="30" spans="1:12" x14ac:dyDescent="0.3">
      <c r="A30" t="s">
        <v>40</v>
      </c>
      <c r="B30" t="s">
        <v>215</v>
      </c>
      <c r="C30">
        <v>2023</v>
      </c>
      <c r="D30">
        <v>5961.63</v>
      </c>
      <c r="E30">
        <v>11948.59</v>
      </c>
      <c r="F30">
        <v>8149.78</v>
      </c>
      <c r="G30">
        <v>1064.6300000000001</v>
      </c>
      <c r="H30">
        <v>46.31</v>
      </c>
      <c r="I30">
        <v>4673</v>
      </c>
      <c r="J30" t="s">
        <v>249</v>
      </c>
      <c r="K30" t="s">
        <v>254</v>
      </c>
      <c r="L30" t="s">
        <v>256</v>
      </c>
    </row>
    <row r="31" spans="1:12" x14ac:dyDescent="0.3">
      <c r="A31" t="s">
        <v>41</v>
      </c>
      <c r="B31" t="s">
        <v>215</v>
      </c>
      <c r="C31">
        <v>2024</v>
      </c>
      <c r="D31">
        <v>24274.81</v>
      </c>
      <c r="E31">
        <v>3378.51</v>
      </c>
      <c r="F31">
        <v>19261.93</v>
      </c>
      <c r="G31">
        <v>920.13</v>
      </c>
      <c r="H31">
        <v>69.5</v>
      </c>
      <c r="I31">
        <v>7219</v>
      </c>
      <c r="J31" t="s">
        <v>249</v>
      </c>
      <c r="K31" t="s">
        <v>254</v>
      </c>
      <c r="L31" t="s">
        <v>257</v>
      </c>
    </row>
    <row r="32" spans="1:12" x14ac:dyDescent="0.3">
      <c r="A32" t="s">
        <v>42</v>
      </c>
      <c r="B32" t="s">
        <v>217</v>
      </c>
      <c r="C32">
        <v>2015</v>
      </c>
      <c r="D32">
        <v>5156.93</v>
      </c>
      <c r="E32">
        <v>990.08</v>
      </c>
      <c r="F32">
        <v>8890.33</v>
      </c>
      <c r="G32">
        <v>3719.12</v>
      </c>
      <c r="H32">
        <v>484.87</v>
      </c>
      <c r="I32">
        <v>3328</v>
      </c>
      <c r="J32">
        <v>1816</v>
      </c>
      <c r="K32" t="s">
        <v>251</v>
      </c>
      <c r="L32" t="s">
        <v>257</v>
      </c>
    </row>
    <row r="33" spans="1:12" x14ac:dyDescent="0.3">
      <c r="A33" t="s">
        <v>43</v>
      </c>
      <c r="B33" t="s">
        <v>217</v>
      </c>
      <c r="C33">
        <v>2016</v>
      </c>
      <c r="D33">
        <v>18133.98</v>
      </c>
      <c r="E33">
        <v>5545.74</v>
      </c>
      <c r="F33">
        <v>6392.91</v>
      </c>
      <c r="G33">
        <v>2492.3200000000002</v>
      </c>
      <c r="H33">
        <v>244.43</v>
      </c>
      <c r="J33" t="s">
        <v>249</v>
      </c>
      <c r="K33" t="s">
        <v>252</v>
      </c>
      <c r="L33" t="s">
        <v>257</v>
      </c>
    </row>
    <row r="34" spans="1:12" x14ac:dyDescent="0.3">
      <c r="A34" t="s">
        <v>44</v>
      </c>
      <c r="B34" t="s">
        <v>217</v>
      </c>
      <c r="C34">
        <v>2017</v>
      </c>
      <c r="D34">
        <v>14443.08</v>
      </c>
      <c r="E34">
        <v>7428.14</v>
      </c>
      <c r="F34">
        <v>16724.39</v>
      </c>
      <c r="G34">
        <v>1342.62</v>
      </c>
      <c r="H34">
        <v>130.06</v>
      </c>
      <c r="I34">
        <v>5379</v>
      </c>
      <c r="J34" t="s">
        <v>249</v>
      </c>
      <c r="K34" t="s">
        <v>253</v>
      </c>
      <c r="L34" t="s">
        <v>257</v>
      </c>
    </row>
    <row r="35" spans="1:12" x14ac:dyDescent="0.3">
      <c r="A35" t="s">
        <v>45</v>
      </c>
      <c r="B35" t="s">
        <v>217</v>
      </c>
      <c r="C35">
        <v>2018</v>
      </c>
      <c r="D35">
        <v>20002.61</v>
      </c>
      <c r="E35">
        <v>3220.51</v>
      </c>
      <c r="F35">
        <v>1970.47</v>
      </c>
      <c r="G35">
        <v>3669.97</v>
      </c>
      <c r="H35">
        <v>381.6</v>
      </c>
      <c r="J35" t="s">
        <v>249</v>
      </c>
      <c r="K35" t="s">
        <v>253</v>
      </c>
      <c r="L35" t="s">
        <v>255</v>
      </c>
    </row>
    <row r="36" spans="1:12" x14ac:dyDescent="0.3">
      <c r="A36" t="s">
        <v>46</v>
      </c>
      <c r="B36" t="s">
        <v>217</v>
      </c>
      <c r="C36" t="s">
        <v>244</v>
      </c>
      <c r="D36">
        <v>24606.43</v>
      </c>
      <c r="E36">
        <v>11080.68</v>
      </c>
      <c r="F36">
        <v>15439.24</v>
      </c>
      <c r="G36">
        <v>3009.58</v>
      </c>
      <c r="H36">
        <v>532.25</v>
      </c>
      <c r="I36">
        <v>3285</v>
      </c>
      <c r="J36" t="s">
        <v>249</v>
      </c>
      <c r="K36" t="s">
        <v>253</v>
      </c>
      <c r="L36" t="s">
        <v>255</v>
      </c>
    </row>
    <row r="37" spans="1:12" x14ac:dyDescent="0.3">
      <c r="A37" t="s">
        <v>47</v>
      </c>
      <c r="B37" t="s">
        <v>217</v>
      </c>
      <c r="C37" t="s">
        <v>245</v>
      </c>
      <c r="D37">
        <v>18898.63</v>
      </c>
      <c r="E37">
        <v>13906.82</v>
      </c>
      <c r="F37">
        <v>2399.77</v>
      </c>
      <c r="G37">
        <v>2676.61</v>
      </c>
      <c r="H37">
        <v>109.65</v>
      </c>
      <c r="I37">
        <v>8586</v>
      </c>
      <c r="J37">
        <v>255</v>
      </c>
      <c r="K37" t="s">
        <v>250</v>
      </c>
      <c r="L37" t="s">
        <v>256</v>
      </c>
    </row>
    <row r="38" spans="1:12" x14ac:dyDescent="0.3">
      <c r="A38" t="s">
        <v>48</v>
      </c>
      <c r="B38" t="s">
        <v>217</v>
      </c>
      <c r="C38">
        <v>2021</v>
      </c>
      <c r="D38">
        <v>13512.73</v>
      </c>
      <c r="E38">
        <v>10148.870000000001</v>
      </c>
      <c r="F38">
        <v>6550.77</v>
      </c>
      <c r="G38">
        <v>6307.75</v>
      </c>
      <c r="H38">
        <v>268.33</v>
      </c>
      <c r="I38">
        <v>8370</v>
      </c>
      <c r="J38" t="s">
        <v>249</v>
      </c>
      <c r="K38" t="s">
        <v>253</v>
      </c>
      <c r="L38" t="s">
        <v>257</v>
      </c>
    </row>
    <row r="39" spans="1:12" x14ac:dyDescent="0.3">
      <c r="A39" t="s">
        <v>49</v>
      </c>
      <c r="B39" t="s">
        <v>217</v>
      </c>
      <c r="C39">
        <v>2022</v>
      </c>
      <c r="D39">
        <v>18918.53</v>
      </c>
      <c r="E39">
        <v>15149.56</v>
      </c>
      <c r="F39">
        <v>5763.03</v>
      </c>
      <c r="G39">
        <v>6554.42</v>
      </c>
      <c r="H39">
        <v>293.33999999999997</v>
      </c>
      <c r="I39">
        <v>4019</v>
      </c>
      <c r="J39">
        <v>1851</v>
      </c>
      <c r="K39" t="s">
        <v>251</v>
      </c>
      <c r="L39" t="s">
        <v>255</v>
      </c>
    </row>
    <row r="40" spans="1:12" x14ac:dyDescent="0.3">
      <c r="A40" t="s">
        <v>50</v>
      </c>
      <c r="B40" t="s">
        <v>217</v>
      </c>
      <c r="C40">
        <v>2023</v>
      </c>
      <c r="D40">
        <v>13733.73</v>
      </c>
      <c r="E40">
        <v>2663.06</v>
      </c>
      <c r="F40">
        <v>4855.8500000000004</v>
      </c>
      <c r="G40">
        <v>5633.45</v>
      </c>
      <c r="H40">
        <v>425.32</v>
      </c>
      <c r="I40">
        <v>1152</v>
      </c>
      <c r="J40" t="s">
        <v>249</v>
      </c>
      <c r="K40" t="s">
        <v>254</v>
      </c>
      <c r="L40" t="s">
        <v>256</v>
      </c>
    </row>
    <row r="41" spans="1:12" x14ac:dyDescent="0.3">
      <c r="A41" t="s">
        <v>51</v>
      </c>
      <c r="B41" t="s">
        <v>217</v>
      </c>
      <c r="C41">
        <v>2024</v>
      </c>
      <c r="D41">
        <v>10793.52</v>
      </c>
      <c r="E41">
        <v>16306.12</v>
      </c>
      <c r="F41">
        <v>11806.36</v>
      </c>
      <c r="G41">
        <v>5650.75</v>
      </c>
      <c r="H41">
        <v>514.76</v>
      </c>
      <c r="I41">
        <v>6332</v>
      </c>
      <c r="J41" t="s">
        <v>249</v>
      </c>
      <c r="K41" t="s">
        <v>251</v>
      </c>
      <c r="L41" t="s">
        <v>256</v>
      </c>
    </row>
    <row r="42" spans="1:12" x14ac:dyDescent="0.3">
      <c r="A42" t="s">
        <v>52</v>
      </c>
      <c r="B42" t="s">
        <v>218</v>
      </c>
      <c r="C42">
        <v>2015</v>
      </c>
      <c r="D42">
        <v>10766.02</v>
      </c>
      <c r="E42">
        <v>13505.78</v>
      </c>
      <c r="F42">
        <v>11058.81</v>
      </c>
      <c r="G42">
        <v>4635.78</v>
      </c>
      <c r="H42">
        <v>136.22</v>
      </c>
      <c r="I42">
        <v>3695</v>
      </c>
      <c r="J42" t="s">
        <v>249</v>
      </c>
      <c r="K42" t="s">
        <v>250</v>
      </c>
      <c r="L42" t="s">
        <v>256</v>
      </c>
    </row>
    <row r="43" spans="1:12" x14ac:dyDescent="0.3">
      <c r="A43" t="s">
        <v>53</v>
      </c>
      <c r="B43" t="s">
        <v>218</v>
      </c>
      <c r="C43">
        <v>2016</v>
      </c>
      <c r="D43">
        <v>10405.76</v>
      </c>
      <c r="E43">
        <v>3137.8</v>
      </c>
      <c r="F43">
        <v>9507.59</v>
      </c>
      <c r="G43">
        <v>-596.09</v>
      </c>
      <c r="H43">
        <v>375.24</v>
      </c>
      <c r="I43">
        <v>541</v>
      </c>
      <c r="J43">
        <v>2474</v>
      </c>
      <c r="K43" t="s">
        <v>250</v>
      </c>
      <c r="L43" t="s">
        <v>257</v>
      </c>
    </row>
    <row r="44" spans="1:12" x14ac:dyDescent="0.3">
      <c r="A44" t="s">
        <v>54</v>
      </c>
      <c r="B44" t="s">
        <v>218</v>
      </c>
      <c r="C44">
        <v>2017</v>
      </c>
      <c r="D44">
        <v>4952.3599999999997</v>
      </c>
      <c r="E44">
        <v>4830.78</v>
      </c>
      <c r="F44">
        <v>6748.85</v>
      </c>
      <c r="G44">
        <v>3001.69</v>
      </c>
      <c r="H44">
        <v>205.81</v>
      </c>
      <c r="I44">
        <v>6311</v>
      </c>
      <c r="J44" t="s">
        <v>249</v>
      </c>
      <c r="K44" t="s">
        <v>250</v>
      </c>
      <c r="L44" t="s">
        <v>256</v>
      </c>
    </row>
    <row r="45" spans="1:12" x14ac:dyDescent="0.3">
      <c r="A45" t="s">
        <v>55</v>
      </c>
      <c r="B45" t="s">
        <v>219</v>
      </c>
      <c r="C45">
        <v>2018</v>
      </c>
      <c r="D45">
        <v>24997.74</v>
      </c>
      <c r="E45">
        <v>6429.29</v>
      </c>
      <c r="F45">
        <v>13107.84</v>
      </c>
      <c r="G45">
        <v>6593.56</v>
      </c>
      <c r="H45">
        <v>392.79</v>
      </c>
      <c r="J45">
        <v>866</v>
      </c>
      <c r="K45" t="s">
        <v>254</v>
      </c>
      <c r="L45" t="s">
        <v>255</v>
      </c>
    </row>
    <row r="46" spans="1:12" x14ac:dyDescent="0.3">
      <c r="A46" t="s">
        <v>56</v>
      </c>
      <c r="B46" t="s">
        <v>218</v>
      </c>
      <c r="C46">
        <v>2019</v>
      </c>
      <c r="D46">
        <v>3302.54</v>
      </c>
      <c r="E46">
        <v>17070.07</v>
      </c>
      <c r="F46">
        <v>9461.17</v>
      </c>
      <c r="G46">
        <v>818.68</v>
      </c>
      <c r="H46">
        <v>224.49</v>
      </c>
      <c r="J46">
        <v>1324</v>
      </c>
      <c r="K46" t="s">
        <v>254</v>
      </c>
      <c r="L46" t="s">
        <v>255</v>
      </c>
    </row>
    <row r="47" spans="1:12" x14ac:dyDescent="0.3">
      <c r="A47" t="s">
        <v>57</v>
      </c>
      <c r="B47" t="s">
        <v>218</v>
      </c>
      <c r="C47">
        <v>2020</v>
      </c>
      <c r="D47">
        <v>22746.639999999999</v>
      </c>
      <c r="E47">
        <v>6880.46</v>
      </c>
      <c r="F47">
        <v>18846.97</v>
      </c>
      <c r="G47">
        <v>181.63</v>
      </c>
      <c r="H47">
        <v>357.3</v>
      </c>
      <c r="J47" t="s">
        <v>249</v>
      </c>
      <c r="K47" t="s">
        <v>254</v>
      </c>
      <c r="L47" t="s">
        <v>255</v>
      </c>
    </row>
    <row r="48" spans="1:12" x14ac:dyDescent="0.3">
      <c r="A48" t="s">
        <v>58</v>
      </c>
      <c r="B48" t="s">
        <v>218</v>
      </c>
      <c r="C48">
        <v>2021</v>
      </c>
      <c r="D48">
        <v>1506.19</v>
      </c>
      <c r="E48">
        <v>9682.8700000000008</v>
      </c>
      <c r="F48">
        <v>13331.97</v>
      </c>
      <c r="G48">
        <v>-1241.48</v>
      </c>
      <c r="H48">
        <v>390.29</v>
      </c>
      <c r="I48">
        <v>307</v>
      </c>
      <c r="J48">
        <v>2057</v>
      </c>
      <c r="K48" t="s">
        <v>252</v>
      </c>
      <c r="L48" t="s">
        <v>256</v>
      </c>
    </row>
    <row r="49" spans="1:12" x14ac:dyDescent="0.3">
      <c r="A49" t="s">
        <v>59</v>
      </c>
      <c r="B49" t="s">
        <v>218</v>
      </c>
      <c r="C49">
        <v>2022</v>
      </c>
      <c r="D49">
        <v>17829.060000000001</v>
      </c>
      <c r="E49">
        <v>7951.67</v>
      </c>
      <c r="F49">
        <v>14755.77</v>
      </c>
      <c r="G49">
        <v>8620.2099999999991</v>
      </c>
      <c r="H49">
        <v>165.7</v>
      </c>
      <c r="I49">
        <v>8917</v>
      </c>
      <c r="J49" t="s">
        <v>249</v>
      </c>
      <c r="K49" t="s">
        <v>254</v>
      </c>
      <c r="L49" t="s">
        <v>256</v>
      </c>
    </row>
    <row r="50" spans="1:12" x14ac:dyDescent="0.3">
      <c r="A50" t="s">
        <v>60</v>
      </c>
      <c r="B50" t="s">
        <v>218</v>
      </c>
      <c r="C50">
        <v>2023</v>
      </c>
      <c r="D50">
        <v>23398.240000000002</v>
      </c>
      <c r="E50">
        <v>5164.92</v>
      </c>
      <c r="F50">
        <v>9180.7999999999993</v>
      </c>
      <c r="G50">
        <v>6255.24</v>
      </c>
      <c r="H50">
        <v>344.06</v>
      </c>
      <c r="I50">
        <v>6309</v>
      </c>
      <c r="J50" t="s">
        <v>249</v>
      </c>
      <c r="K50" t="s">
        <v>251</v>
      </c>
      <c r="L50" t="s">
        <v>255</v>
      </c>
    </row>
    <row r="51" spans="1:12" x14ac:dyDescent="0.3">
      <c r="A51" t="s">
        <v>61</v>
      </c>
      <c r="B51" t="s">
        <v>218</v>
      </c>
      <c r="C51">
        <v>2024</v>
      </c>
      <c r="D51">
        <v>6829.63</v>
      </c>
      <c r="E51">
        <v>5177.92</v>
      </c>
      <c r="F51">
        <v>12044.25</v>
      </c>
      <c r="G51">
        <v>7681.18</v>
      </c>
      <c r="H51">
        <v>335.7</v>
      </c>
      <c r="J51">
        <v>400</v>
      </c>
      <c r="K51" t="s">
        <v>252</v>
      </c>
      <c r="L51" t="s">
        <v>256</v>
      </c>
    </row>
    <row r="52" spans="1:12" x14ac:dyDescent="0.3">
      <c r="A52" t="s">
        <v>62</v>
      </c>
      <c r="B52" t="s">
        <v>220</v>
      </c>
      <c r="C52">
        <v>2015</v>
      </c>
      <c r="D52">
        <v>12164.28</v>
      </c>
      <c r="E52">
        <v>12870.79</v>
      </c>
      <c r="F52">
        <v>9129.0400000000009</v>
      </c>
      <c r="G52">
        <v>-1810.32</v>
      </c>
      <c r="H52">
        <v>180.07</v>
      </c>
      <c r="J52" t="s">
        <v>249</v>
      </c>
      <c r="K52" t="s">
        <v>252</v>
      </c>
      <c r="L52" t="s">
        <v>257</v>
      </c>
    </row>
    <row r="53" spans="1:12" x14ac:dyDescent="0.3">
      <c r="A53" t="s">
        <v>63</v>
      </c>
      <c r="B53" t="s">
        <v>220</v>
      </c>
      <c r="C53">
        <v>2016</v>
      </c>
      <c r="D53">
        <v>18775.419999999998</v>
      </c>
      <c r="E53">
        <v>6088.09</v>
      </c>
      <c r="F53">
        <v>14146.24</v>
      </c>
      <c r="G53">
        <v>980.08</v>
      </c>
      <c r="H53">
        <v>154.59</v>
      </c>
      <c r="J53">
        <v>1342</v>
      </c>
      <c r="K53" t="s">
        <v>254</v>
      </c>
      <c r="L53" t="s">
        <v>257</v>
      </c>
    </row>
    <row r="54" spans="1:12" x14ac:dyDescent="0.3">
      <c r="A54" t="s">
        <v>64</v>
      </c>
      <c r="B54" t="s">
        <v>220</v>
      </c>
      <c r="C54">
        <v>2017</v>
      </c>
      <c r="D54">
        <v>12362.87</v>
      </c>
      <c r="E54">
        <v>13097.61</v>
      </c>
      <c r="F54">
        <v>19539.16</v>
      </c>
      <c r="G54">
        <v>3771.01</v>
      </c>
      <c r="H54">
        <v>173.38</v>
      </c>
      <c r="J54">
        <v>1263</v>
      </c>
      <c r="K54" t="s">
        <v>251</v>
      </c>
      <c r="L54" t="s">
        <v>255</v>
      </c>
    </row>
    <row r="55" spans="1:12" x14ac:dyDescent="0.3">
      <c r="A55" t="s">
        <v>65</v>
      </c>
      <c r="B55" t="s">
        <v>220</v>
      </c>
      <c r="C55">
        <v>2018</v>
      </c>
      <c r="D55">
        <v>3601.28</v>
      </c>
      <c r="E55">
        <v>1010.18</v>
      </c>
      <c r="F55">
        <v>1374.16</v>
      </c>
      <c r="G55">
        <v>1213.5</v>
      </c>
      <c r="H55">
        <v>566.73</v>
      </c>
      <c r="J55" t="s">
        <v>249</v>
      </c>
      <c r="K55" t="s">
        <v>252</v>
      </c>
      <c r="L55" t="s">
        <v>256</v>
      </c>
    </row>
    <row r="56" spans="1:12" x14ac:dyDescent="0.3">
      <c r="A56" t="s">
        <v>66</v>
      </c>
      <c r="B56" t="s">
        <v>220</v>
      </c>
      <c r="C56">
        <v>2019</v>
      </c>
      <c r="D56">
        <v>1758.73</v>
      </c>
      <c r="E56">
        <v>16950.93</v>
      </c>
      <c r="F56">
        <v>9711.26</v>
      </c>
      <c r="G56">
        <v>7043.27</v>
      </c>
      <c r="H56">
        <v>243.42</v>
      </c>
      <c r="J56">
        <v>671</v>
      </c>
      <c r="K56" t="s">
        <v>254</v>
      </c>
      <c r="L56" t="s">
        <v>256</v>
      </c>
    </row>
    <row r="57" spans="1:12" x14ac:dyDescent="0.3">
      <c r="A57" t="s">
        <v>67</v>
      </c>
      <c r="B57" t="s">
        <v>221</v>
      </c>
      <c r="C57">
        <v>2020</v>
      </c>
      <c r="D57">
        <v>14172.79</v>
      </c>
      <c r="E57">
        <v>7607.9</v>
      </c>
      <c r="F57">
        <v>12043.7</v>
      </c>
      <c r="G57">
        <v>4802.6000000000004</v>
      </c>
      <c r="H57">
        <v>466.54</v>
      </c>
      <c r="I57">
        <v>6332</v>
      </c>
      <c r="J57" t="s">
        <v>249</v>
      </c>
      <c r="K57" t="s">
        <v>254</v>
      </c>
      <c r="L57" t="s">
        <v>256</v>
      </c>
    </row>
    <row r="58" spans="1:12" x14ac:dyDescent="0.3">
      <c r="A58" t="s">
        <v>68</v>
      </c>
      <c r="B58" t="s">
        <v>220</v>
      </c>
      <c r="C58">
        <v>2021</v>
      </c>
      <c r="D58">
        <v>15435.96</v>
      </c>
      <c r="E58">
        <v>13373.59</v>
      </c>
      <c r="F58">
        <v>18967.53</v>
      </c>
      <c r="G58">
        <v>285.67</v>
      </c>
      <c r="H58">
        <v>130.56</v>
      </c>
      <c r="J58">
        <v>1032</v>
      </c>
      <c r="K58" t="s">
        <v>254</v>
      </c>
      <c r="L58" t="s">
        <v>255</v>
      </c>
    </row>
    <row r="59" spans="1:12" x14ac:dyDescent="0.3">
      <c r="A59" t="s">
        <v>69</v>
      </c>
      <c r="B59" t="s">
        <v>220</v>
      </c>
      <c r="C59">
        <v>2022</v>
      </c>
      <c r="D59">
        <v>17389.59</v>
      </c>
      <c r="E59">
        <v>8564.44</v>
      </c>
      <c r="F59">
        <v>943.01</v>
      </c>
      <c r="G59">
        <v>1169.1500000000001</v>
      </c>
      <c r="H59">
        <v>173.22</v>
      </c>
      <c r="J59">
        <v>2865</v>
      </c>
      <c r="K59" t="s">
        <v>251</v>
      </c>
      <c r="L59" t="s">
        <v>257</v>
      </c>
    </row>
    <row r="60" spans="1:12" x14ac:dyDescent="0.3">
      <c r="A60" t="s">
        <v>70</v>
      </c>
      <c r="B60" t="s">
        <v>220</v>
      </c>
      <c r="C60">
        <v>2023</v>
      </c>
      <c r="D60">
        <v>5346.57</v>
      </c>
      <c r="E60">
        <v>2243.02</v>
      </c>
      <c r="F60">
        <v>4728.75</v>
      </c>
      <c r="G60">
        <v>-361.12</v>
      </c>
      <c r="H60">
        <v>163.05000000000001</v>
      </c>
      <c r="J60">
        <v>294</v>
      </c>
      <c r="K60" t="s">
        <v>251</v>
      </c>
      <c r="L60" t="s">
        <v>257</v>
      </c>
    </row>
    <row r="61" spans="1:12" x14ac:dyDescent="0.3">
      <c r="A61" t="s">
        <v>71</v>
      </c>
      <c r="B61" t="s">
        <v>220</v>
      </c>
      <c r="C61">
        <v>2024</v>
      </c>
      <c r="D61">
        <v>7570.96</v>
      </c>
      <c r="E61">
        <v>2413.5</v>
      </c>
      <c r="F61">
        <v>13866.96</v>
      </c>
      <c r="G61">
        <v>5697.07</v>
      </c>
      <c r="H61">
        <v>565.89</v>
      </c>
      <c r="I61">
        <v>8299</v>
      </c>
      <c r="J61">
        <v>1843</v>
      </c>
      <c r="K61" t="s">
        <v>254</v>
      </c>
      <c r="L61" t="s">
        <v>255</v>
      </c>
    </row>
    <row r="62" spans="1:12" x14ac:dyDescent="0.3">
      <c r="A62" t="s">
        <v>72</v>
      </c>
      <c r="B62" t="s">
        <v>222</v>
      </c>
      <c r="C62">
        <v>2015</v>
      </c>
      <c r="D62">
        <v>15290.98</v>
      </c>
      <c r="E62">
        <v>660.4</v>
      </c>
      <c r="F62">
        <v>4809.8100000000004</v>
      </c>
      <c r="G62">
        <v>5417.28</v>
      </c>
      <c r="H62">
        <v>517.01</v>
      </c>
      <c r="I62">
        <v>439</v>
      </c>
      <c r="J62">
        <v>2410</v>
      </c>
      <c r="K62" t="s">
        <v>253</v>
      </c>
      <c r="L62" t="s">
        <v>256</v>
      </c>
    </row>
    <row r="63" spans="1:12" x14ac:dyDescent="0.3">
      <c r="A63" t="s">
        <v>73</v>
      </c>
      <c r="B63" t="s">
        <v>222</v>
      </c>
      <c r="C63">
        <v>2016</v>
      </c>
      <c r="D63">
        <v>7314.84</v>
      </c>
      <c r="E63">
        <v>17945.63</v>
      </c>
      <c r="F63">
        <v>8886.93</v>
      </c>
      <c r="G63">
        <v>6956.69</v>
      </c>
      <c r="H63">
        <v>581.59</v>
      </c>
      <c r="I63">
        <v>7800</v>
      </c>
      <c r="J63" t="s">
        <v>249</v>
      </c>
      <c r="K63" t="s">
        <v>251</v>
      </c>
      <c r="L63" t="s">
        <v>257</v>
      </c>
    </row>
    <row r="64" spans="1:12" x14ac:dyDescent="0.3">
      <c r="A64" t="s">
        <v>74</v>
      </c>
      <c r="B64" t="s">
        <v>222</v>
      </c>
      <c r="C64">
        <v>2017</v>
      </c>
      <c r="D64">
        <v>10585.3</v>
      </c>
      <c r="E64">
        <v>9019.35</v>
      </c>
      <c r="F64">
        <v>13352.9</v>
      </c>
      <c r="G64">
        <v>2404.9699999999998</v>
      </c>
      <c r="H64">
        <v>457.5</v>
      </c>
      <c r="I64">
        <v>701</v>
      </c>
      <c r="J64" t="s">
        <v>249</v>
      </c>
      <c r="K64" t="s">
        <v>251</v>
      </c>
      <c r="L64" t="s">
        <v>256</v>
      </c>
    </row>
    <row r="65" spans="1:12" x14ac:dyDescent="0.3">
      <c r="A65" t="s">
        <v>75</v>
      </c>
      <c r="B65" t="s">
        <v>222</v>
      </c>
      <c r="C65">
        <v>2018</v>
      </c>
      <c r="D65">
        <v>21690.31</v>
      </c>
      <c r="E65">
        <v>14883.7</v>
      </c>
      <c r="F65">
        <v>322.68</v>
      </c>
      <c r="G65">
        <v>7563.04</v>
      </c>
      <c r="H65">
        <v>279.88</v>
      </c>
      <c r="J65" t="s">
        <v>249</v>
      </c>
      <c r="K65" t="s">
        <v>254</v>
      </c>
      <c r="L65" t="s">
        <v>256</v>
      </c>
    </row>
    <row r="66" spans="1:12" x14ac:dyDescent="0.3">
      <c r="A66" t="s">
        <v>76</v>
      </c>
      <c r="B66" t="s">
        <v>222</v>
      </c>
      <c r="C66">
        <v>2019</v>
      </c>
      <c r="D66">
        <v>5487.18</v>
      </c>
      <c r="E66">
        <v>9976.11</v>
      </c>
      <c r="F66">
        <v>18575.150000000001</v>
      </c>
      <c r="G66">
        <v>2819.28</v>
      </c>
      <c r="H66">
        <v>420.46</v>
      </c>
      <c r="J66">
        <v>2630</v>
      </c>
      <c r="K66" t="s">
        <v>253</v>
      </c>
      <c r="L66" t="s">
        <v>256</v>
      </c>
    </row>
    <row r="67" spans="1:12" x14ac:dyDescent="0.3">
      <c r="A67" t="s">
        <v>77</v>
      </c>
      <c r="B67" t="s">
        <v>222</v>
      </c>
      <c r="C67">
        <v>2020</v>
      </c>
      <c r="D67">
        <v>2783.63</v>
      </c>
      <c r="E67">
        <v>17862.18</v>
      </c>
      <c r="F67">
        <v>18284.72</v>
      </c>
      <c r="G67">
        <v>3075.93</v>
      </c>
      <c r="H67">
        <v>74.89</v>
      </c>
      <c r="I67">
        <v>2622</v>
      </c>
      <c r="J67" t="s">
        <v>249</v>
      </c>
      <c r="K67" t="s">
        <v>254</v>
      </c>
      <c r="L67" t="s">
        <v>257</v>
      </c>
    </row>
    <row r="68" spans="1:12" x14ac:dyDescent="0.3">
      <c r="A68" t="s">
        <v>78</v>
      </c>
      <c r="B68" t="s">
        <v>222</v>
      </c>
      <c r="C68">
        <v>2021</v>
      </c>
      <c r="D68">
        <v>24515.99</v>
      </c>
      <c r="E68">
        <v>4538.41</v>
      </c>
      <c r="F68">
        <v>11159.92</v>
      </c>
      <c r="G68">
        <v>2219.4499999999998</v>
      </c>
      <c r="H68">
        <v>553.51</v>
      </c>
      <c r="J68" t="s">
        <v>249</v>
      </c>
      <c r="K68" t="s">
        <v>252</v>
      </c>
      <c r="L68" t="s">
        <v>256</v>
      </c>
    </row>
    <row r="69" spans="1:12" x14ac:dyDescent="0.3">
      <c r="A69" t="s">
        <v>79</v>
      </c>
      <c r="B69" t="s">
        <v>222</v>
      </c>
      <c r="C69">
        <v>2022</v>
      </c>
      <c r="D69">
        <v>20603.46</v>
      </c>
      <c r="E69">
        <v>5234.53</v>
      </c>
      <c r="F69">
        <v>6181.55</v>
      </c>
      <c r="G69">
        <v>4456.3100000000004</v>
      </c>
      <c r="H69">
        <v>599.35</v>
      </c>
      <c r="J69" t="s">
        <v>249</v>
      </c>
      <c r="K69" t="s">
        <v>251</v>
      </c>
      <c r="L69" t="s">
        <v>256</v>
      </c>
    </row>
    <row r="70" spans="1:12" x14ac:dyDescent="0.3">
      <c r="A70" t="s">
        <v>80</v>
      </c>
      <c r="B70" t="s">
        <v>222</v>
      </c>
      <c r="C70">
        <v>2023</v>
      </c>
      <c r="D70">
        <v>11655.94</v>
      </c>
      <c r="E70">
        <v>5927.64</v>
      </c>
      <c r="F70">
        <v>4016.45</v>
      </c>
      <c r="G70">
        <v>5672.48</v>
      </c>
      <c r="H70">
        <v>345.22</v>
      </c>
      <c r="I70">
        <v>3926</v>
      </c>
      <c r="J70" t="s">
        <v>249</v>
      </c>
      <c r="K70" t="s">
        <v>252</v>
      </c>
      <c r="L70" t="s">
        <v>257</v>
      </c>
    </row>
    <row r="71" spans="1:12" x14ac:dyDescent="0.3">
      <c r="A71" t="s">
        <v>81</v>
      </c>
      <c r="B71" t="s">
        <v>222</v>
      </c>
      <c r="C71">
        <v>2024</v>
      </c>
      <c r="D71">
        <v>24716.14</v>
      </c>
      <c r="E71">
        <v>14304.61</v>
      </c>
      <c r="F71">
        <v>13144.77</v>
      </c>
      <c r="G71">
        <v>-326.83999999999997</v>
      </c>
      <c r="H71">
        <v>579.07000000000005</v>
      </c>
      <c r="I71">
        <v>2168</v>
      </c>
      <c r="J71" t="s">
        <v>249</v>
      </c>
      <c r="K71" t="s">
        <v>250</v>
      </c>
      <c r="L71" t="s">
        <v>257</v>
      </c>
    </row>
    <row r="72" spans="1:12" x14ac:dyDescent="0.3">
      <c r="A72" t="s">
        <v>82</v>
      </c>
      <c r="B72" t="s">
        <v>223</v>
      </c>
      <c r="C72" t="s">
        <v>243</v>
      </c>
      <c r="D72">
        <v>4031.81</v>
      </c>
      <c r="E72">
        <v>15702.61</v>
      </c>
      <c r="F72">
        <v>19408.150000000001</v>
      </c>
      <c r="G72">
        <v>-1176.8900000000001</v>
      </c>
      <c r="H72">
        <v>470.01</v>
      </c>
      <c r="I72">
        <v>4442</v>
      </c>
      <c r="J72" t="s">
        <v>249</v>
      </c>
      <c r="K72" t="s">
        <v>250</v>
      </c>
      <c r="L72" t="s">
        <v>256</v>
      </c>
    </row>
    <row r="73" spans="1:12" x14ac:dyDescent="0.3">
      <c r="A73" t="s">
        <v>83</v>
      </c>
      <c r="B73" t="s">
        <v>223</v>
      </c>
      <c r="C73">
        <v>2016</v>
      </c>
      <c r="D73">
        <v>9810.23</v>
      </c>
      <c r="E73">
        <v>5836.57</v>
      </c>
      <c r="F73">
        <v>14458.73</v>
      </c>
      <c r="G73">
        <v>6353.42</v>
      </c>
      <c r="H73">
        <v>524.07000000000005</v>
      </c>
      <c r="J73" t="s">
        <v>249</v>
      </c>
      <c r="K73" t="s">
        <v>253</v>
      </c>
      <c r="L73" t="s">
        <v>257</v>
      </c>
    </row>
    <row r="74" spans="1:12" x14ac:dyDescent="0.3">
      <c r="A74" t="s">
        <v>84</v>
      </c>
      <c r="B74" t="s">
        <v>224</v>
      </c>
      <c r="C74">
        <v>2017</v>
      </c>
      <c r="D74">
        <v>19129.060000000001</v>
      </c>
      <c r="E74">
        <v>12729.26</v>
      </c>
      <c r="F74">
        <v>2279.9899999999998</v>
      </c>
      <c r="G74">
        <v>-169.99</v>
      </c>
      <c r="H74">
        <v>183.18</v>
      </c>
      <c r="J74">
        <v>1378</v>
      </c>
      <c r="K74" t="s">
        <v>251</v>
      </c>
      <c r="L74" t="s">
        <v>256</v>
      </c>
    </row>
    <row r="75" spans="1:12" x14ac:dyDescent="0.3">
      <c r="A75" t="s">
        <v>85</v>
      </c>
      <c r="B75" t="s">
        <v>223</v>
      </c>
      <c r="C75">
        <v>2018</v>
      </c>
      <c r="D75">
        <v>13513.57</v>
      </c>
      <c r="E75">
        <v>10273.52</v>
      </c>
      <c r="F75">
        <v>15912.63</v>
      </c>
      <c r="G75">
        <v>-130.18</v>
      </c>
      <c r="H75">
        <v>51.99</v>
      </c>
      <c r="J75">
        <v>2088</v>
      </c>
      <c r="K75" t="s">
        <v>253</v>
      </c>
      <c r="L75" t="s">
        <v>256</v>
      </c>
    </row>
    <row r="76" spans="1:12" x14ac:dyDescent="0.3">
      <c r="A76" t="s">
        <v>86</v>
      </c>
      <c r="B76" t="s">
        <v>223</v>
      </c>
      <c r="C76">
        <v>2019</v>
      </c>
      <c r="D76">
        <v>16837.599999999999</v>
      </c>
      <c r="E76">
        <v>16200.57</v>
      </c>
      <c r="F76">
        <v>9465.49</v>
      </c>
      <c r="G76">
        <v>1163.95</v>
      </c>
      <c r="H76">
        <v>330.23</v>
      </c>
      <c r="I76">
        <v>1310</v>
      </c>
      <c r="J76" t="s">
        <v>249</v>
      </c>
      <c r="K76" t="s">
        <v>252</v>
      </c>
      <c r="L76" t="s">
        <v>257</v>
      </c>
    </row>
    <row r="77" spans="1:12" x14ac:dyDescent="0.3">
      <c r="A77" t="s">
        <v>87</v>
      </c>
      <c r="B77" t="s">
        <v>223</v>
      </c>
      <c r="C77">
        <v>2020</v>
      </c>
      <c r="D77">
        <v>5380.82</v>
      </c>
      <c r="E77">
        <v>7047.54</v>
      </c>
      <c r="F77">
        <v>9819.2000000000007</v>
      </c>
      <c r="G77">
        <v>609.26</v>
      </c>
      <c r="H77">
        <v>345.29</v>
      </c>
      <c r="I77">
        <v>4947</v>
      </c>
      <c r="J77" t="s">
        <v>249</v>
      </c>
      <c r="K77" t="s">
        <v>251</v>
      </c>
      <c r="L77" t="s">
        <v>255</v>
      </c>
    </row>
    <row r="78" spans="1:12" x14ac:dyDescent="0.3">
      <c r="A78" t="s">
        <v>88</v>
      </c>
      <c r="B78" t="s">
        <v>223</v>
      </c>
      <c r="C78">
        <v>2021</v>
      </c>
      <c r="D78">
        <v>18744.39</v>
      </c>
      <c r="E78">
        <v>1072.99</v>
      </c>
      <c r="F78">
        <v>12246.21</v>
      </c>
      <c r="G78">
        <v>3464</v>
      </c>
      <c r="H78">
        <v>542.97</v>
      </c>
      <c r="J78" t="s">
        <v>249</v>
      </c>
      <c r="K78" t="s">
        <v>253</v>
      </c>
      <c r="L78" t="s">
        <v>257</v>
      </c>
    </row>
    <row r="79" spans="1:12" x14ac:dyDescent="0.3">
      <c r="A79" t="s">
        <v>89</v>
      </c>
      <c r="B79" t="s">
        <v>223</v>
      </c>
      <c r="C79">
        <v>2022</v>
      </c>
      <c r="D79">
        <v>19011.64</v>
      </c>
      <c r="E79">
        <v>13860.98</v>
      </c>
      <c r="F79">
        <v>13712.85</v>
      </c>
      <c r="G79">
        <v>-495.43</v>
      </c>
      <c r="H79">
        <v>62.81</v>
      </c>
      <c r="I79">
        <v>745</v>
      </c>
      <c r="J79">
        <v>1855</v>
      </c>
      <c r="K79" t="s">
        <v>254</v>
      </c>
      <c r="L79" t="s">
        <v>256</v>
      </c>
    </row>
    <row r="80" spans="1:12" x14ac:dyDescent="0.3">
      <c r="A80" t="s">
        <v>90</v>
      </c>
      <c r="B80" t="s">
        <v>223</v>
      </c>
      <c r="C80">
        <v>2023</v>
      </c>
      <c r="D80">
        <v>7730.21</v>
      </c>
      <c r="E80">
        <v>13505.16</v>
      </c>
      <c r="F80">
        <v>3760.11</v>
      </c>
      <c r="G80">
        <v>-546.24</v>
      </c>
      <c r="H80">
        <v>325.95</v>
      </c>
      <c r="I80">
        <v>6094</v>
      </c>
      <c r="J80" t="s">
        <v>249</v>
      </c>
      <c r="K80" t="s">
        <v>252</v>
      </c>
      <c r="L80" t="s">
        <v>256</v>
      </c>
    </row>
    <row r="81" spans="1:12" x14ac:dyDescent="0.3">
      <c r="A81" t="s">
        <v>91</v>
      </c>
      <c r="B81" t="s">
        <v>223</v>
      </c>
      <c r="C81">
        <v>2024</v>
      </c>
      <c r="D81">
        <v>3321.66</v>
      </c>
      <c r="E81">
        <v>17339.5</v>
      </c>
      <c r="F81">
        <v>3072.91</v>
      </c>
      <c r="G81">
        <v>8631.5</v>
      </c>
      <c r="H81">
        <v>516.78</v>
      </c>
      <c r="I81">
        <v>6611</v>
      </c>
      <c r="J81" t="s">
        <v>249</v>
      </c>
      <c r="K81" t="s">
        <v>250</v>
      </c>
      <c r="L81" t="s">
        <v>256</v>
      </c>
    </row>
    <row r="82" spans="1:12" x14ac:dyDescent="0.3">
      <c r="A82" t="s">
        <v>92</v>
      </c>
      <c r="B82" t="s">
        <v>225</v>
      </c>
      <c r="C82">
        <v>2015</v>
      </c>
      <c r="D82">
        <v>16984.3</v>
      </c>
      <c r="E82">
        <v>12167.67</v>
      </c>
      <c r="F82">
        <v>11815.83</v>
      </c>
      <c r="G82">
        <v>7046.59</v>
      </c>
      <c r="H82">
        <v>564.47</v>
      </c>
      <c r="J82">
        <v>1981</v>
      </c>
      <c r="K82" t="s">
        <v>254</v>
      </c>
      <c r="L82" t="s">
        <v>257</v>
      </c>
    </row>
    <row r="83" spans="1:12" x14ac:dyDescent="0.3">
      <c r="A83" t="s">
        <v>93</v>
      </c>
      <c r="B83" t="s">
        <v>225</v>
      </c>
      <c r="C83">
        <v>2016</v>
      </c>
      <c r="D83">
        <v>16367.48</v>
      </c>
      <c r="E83">
        <v>11510.19</v>
      </c>
      <c r="F83">
        <v>9446.07</v>
      </c>
      <c r="G83">
        <v>5711.85</v>
      </c>
      <c r="H83">
        <v>391.3</v>
      </c>
      <c r="J83">
        <v>235</v>
      </c>
      <c r="K83" t="s">
        <v>251</v>
      </c>
      <c r="L83" t="s">
        <v>256</v>
      </c>
    </row>
    <row r="84" spans="1:12" x14ac:dyDescent="0.3">
      <c r="A84" t="s">
        <v>94</v>
      </c>
      <c r="B84" t="s">
        <v>225</v>
      </c>
      <c r="C84">
        <v>2017</v>
      </c>
      <c r="D84">
        <v>13669.89</v>
      </c>
      <c r="E84">
        <v>7117.9</v>
      </c>
      <c r="F84">
        <v>7608.93</v>
      </c>
      <c r="G84">
        <v>8443.19</v>
      </c>
      <c r="H84">
        <v>419.41</v>
      </c>
      <c r="I84">
        <v>8950</v>
      </c>
      <c r="J84">
        <v>2455</v>
      </c>
      <c r="K84" t="s">
        <v>252</v>
      </c>
      <c r="L84" t="s">
        <v>257</v>
      </c>
    </row>
    <row r="85" spans="1:12" x14ac:dyDescent="0.3">
      <c r="A85" t="s">
        <v>95</v>
      </c>
      <c r="B85" t="s">
        <v>226</v>
      </c>
      <c r="C85">
        <v>2018</v>
      </c>
      <c r="D85">
        <v>10498.84</v>
      </c>
      <c r="E85">
        <v>17137.080000000002</v>
      </c>
      <c r="F85">
        <v>944.51</v>
      </c>
      <c r="G85">
        <v>2075.83</v>
      </c>
      <c r="H85">
        <v>268.81</v>
      </c>
      <c r="I85">
        <v>3968</v>
      </c>
      <c r="J85" t="s">
        <v>249</v>
      </c>
      <c r="K85" t="s">
        <v>254</v>
      </c>
      <c r="L85" t="s">
        <v>257</v>
      </c>
    </row>
    <row r="86" spans="1:12" x14ac:dyDescent="0.3">
      <c r="A86" t="s">
        <v>96</v>
      </c>
      <c r="B86" t="s">
        <v>225</v>
      </c>
      <c r="C86">
        <v>2019</v>
      </c>
      <c r="D86">
        <v>5150.3100000000004</v>
      </c>
      <c r="E86">
        <v>2374.44</v>
      </c>
      <c r="F86">
        <v>17006.25</v>
      </c>
      <c r="G86">
        <v>3001.89</v>
      </c>
      <c r="H86">
        <v>399.35</v>
      </c>
      <c r="J86">
        <v>1416</v>
      </c>
      <c r="K86" t="s">
        <v>253</v>
      </c>
      <c r="L86" t="s">
        <v>257</v>
      </c>
    </row>
    <row r="87" spans="1:12" x14ac:dyDescent="0.3">
      <c r="A87" t="s">
        <v>97</v>
      </c>
      <c r="B87" t="s">
        <v>225</v>
      </c>
      <c r="C87">
        <v>2020</v>
      </c>
      <c r="D87">
        <v>14078.09</v>
      </c>
      <c r="E87">
        <v>10637.62</v>
      </c>
      <c r="F87">
        <v>16317.14</v>
      </c>
      <c r="G87">
        <v>562.99</v>
      </c>
      <c r="H87">
        <v>465.75</v>
      </c>
      <c r="I87">
        <v>146</v>
      </c>
      <c r="J87">
        <v>642</v>
      </c>
      <c r="K87" t="s">
        <v>254</v>
      </c>
      <c r="L87" t="s">
        <v>256</v>
      </c>
    </row>
    <row r="88" spans="1:12" x14ac:dyDescent="0.3">
      <c r="A88" t="s">
        <v>98</v>
      </c>
      <c r="B88" t="s">
        <v>225</v>
      </c>
      <c r="C88">
        <v>2021</v>
      </c>
      <c r="D88">
        <v>21727.97</v>
      </c>
      <c r="E88">
        <v>2546.1</v>
      </c>
      <c r="F88">
        <v>7357.37</v>
      </c>
      <c r="G88">
        <v>6672.75</v>
      </c>
      <c r="H88">
        <v>355.37</v>
      </c>
      <c r="J88">
        <v>1136</v>
      </c>
      <c r="K88" t="s">
        <v>253</v>
      </c>
      <c r="L88" t="s">
        <v>257</v>
      </c>
    </row>
    <row r="89" spans="1:12" x14ac:dyDescent="0.3">
      <c r="A89" t="s">
        <v>99</v>
      </c>
      <c r="B89" t="s">
        <v>225</v>
      </c>
      <c r="C89">
        <v>2022</v>
      </c>
      <c r="D89">
        <v>2057.17</v>
      </c>
      <c r="E89">
        <v>8179.3</v>
      </c>
      <c r="F89">
        <v>7432.17</v>
      </c>
      <c r="G89">
        <v>4530.33</v>
      </c>
      <c r="H89">
        <v>273.94</v>
      </c>
      <c r="J89" t="s">
        <v>249</v>
      </c>
      <c r="K89" t="s">
        <v>252</v>
      </c>
      <c r="L89" t="s">
        <v>257</v>
      </c>
    </row>
    <row r="90" spans="1:12" x14ac:dyDescent="0.3">
      <c r="A90" t="s">
        <v>100</v>
      </c>
      <c r="B90" t="s">
        <v>225</v>
      </c>
      <c r="C90">
        <v>2023</v>
      </c>
      <c r="D90">
        <v>12235.06</v>
      </c>
      <c r="E90">
        <v>7348.79</v>
      </c>
      <c r="F90">
        <v>13816.12</v>
      </c>
      <c r="G90">
        <v>3392.96</v>
      </c>
      <c r="H90">
        <v>546.27</v>
      </c>
      <c r="J90">
        <v>1369</v>
      </c>
      <c r="K90" t="s">
        <v>250</v>
      </c>
      <c r="L90" t="s">
        <v>255</v>
      </c>
    </row>
    <row r="91" spans="1:12" x14ac:dyDescent="0.3">
      <c r="A91" t="s">
        <v>101</v>
      </c>
      <c r="B91" t="s">
        <v>225</v>
      </c>
      <c r="C91">
        <v>2024</v>
      </c>
      <c r="D91">
        <v>13934.73</v>
      </c>
      <c r="E91">
        <v>5988.3</v>
      </c>
      <c r="F91">
        <v>19894.169999999998</v>
      </c>
      <c r="G91">
        <v>3836.13</v>
      </c>
      <c r="H91">
        <v>274.95999999999998</v>
      </c>
      <c r="J91">
        <v>2924</v>
      </c>
      <c r="K91" t="s">
        <v>254</v>
      </c>
      <c r="L91" t="s">
        <v>257</v>
      </c>
    </row>
    <row r="92" spans="1:12" x14ac:dyDescent="0.3">
      <c r="A92" t="s">
        <v>102</v>
      </c>
      <c r="B92" t="s">
        <v>227</v>
      </c>
      <c r="C92">
        <v>2015</v>
      </c>
      <c r="D92">
        <v>22258.23</v>
      </c>
      <c r="E92">
        <v>7565.88</v>
      </c>
      <c r="F92">
        <v>16600.16</v>
      </c>
      <c r="G92">
        <v>2386.0300000000002</v>
      </c>
      <c r="H92">
        <v>439.12</v>
      </c>
      <c r="I92">
        <v>5220</v>
      </c>
      <c r="J92" t="s">
        <v>249</v>
      </c>
      <c r="K92" t="s">
        <v>251</v>
      </c>
      <c r="L92" t="s">
        <v>255</v>
      </c>
    </row>
    <row r="93" spans="1:12" x14ac:dyDescent="0.3">
      <c r="A93" t="s">
        <v>103</v>
      </c>
      <c r="B93" t="s">
        <v>227</v>
      </c>
      <c r="C93">
        <v>2016</v>
      </c>
      <c r="D93">
        <v>2735.01</v>
      </c>
      <c r="E93">
        <v>1719.49</v>
      </c>
      <c r="F93">
        <v>8807.9699999999993</v>
      </c>
      <c r="G93">
        <v>6190.48</v>
      </c>
      <c r="H93">
        <v>226.72</v>
      </c>
      <c r="J93" t="s">
        <v>249</v>
      </c>
      <c r="K93" t="s">
        <v>250</v>
      </c>
      <c r="L93" t="s">
        <v>256</v>
      </c>
    </row>
    <row r="94" spans="1:12" x14ac:dyDescent="0.3">
      <c r="A94" t="s">
        <v>104</v>
      </c>
      <c r="B94" t="s">
        <v>227</v>
      </c>
      <c r="C94">
        <v>2017</v>
      </c>
      <c r="D94">
        <v>18881.96</v>
      </c>
      <c r="E94">
        <v>15652.04</v>
      </c>
      <c r="F94">
        <v>14504.9</v>
      </c>
      <c r="G94">
        <v>8652.3799999999992</v>
      </c>
      <c r="H94">
        <v>362.24</v>
      </c>
      <c r="J94">
        <v>2417</v>
      </c>
      <c r="K94" t="s">
        <v>253</v>
      </c>
      <c r="L94" t="s">
        <v>257</v>
      </c>
    </row>
    <row r="95" spans="1:12" x14ac:dyDescent="0.3">
      <c r="A95" t="s">
        <v>105</v>
      </c>
      <c r="B95" t="s">
        <v>227</v>
      </c>
      <c r="C95">
        <v>2018</v>
      </c>
      <c r="D95">
        <v>9077.7900000000009</v>
      </c>
      <c r="E95">
        <v>10101.530000000001</v>
      </c>
      <c r="F95">
        <v>2563.2399999999998</v>
      </c>
      <c r="G95">
        <v>1064.25</v>
      </c>
      <c r="H95">
        <v>139.56</v>
      </c>
      <c r="J95" t="s">
        <v>249</v>
      </c>
      <c r="K95" t="s">
        <v>250</v>
      </c>
      <c r="L95" t="s">
        <v>255</v>
      </c>
    </row>
    <row r="96" spans="1:12" x14ac:dyDescent="0.3">
      <c r="A96" t="s">
        <v>106</v>
      </c>
      <c r="B96" t="s">
        <v>227</v>
      </c>
      <c r="C96">
        <v>2019</v>
      </c>
      <c r="D96">
        <v>23077.67</v>
      </c>
      <c r="E96">
        <v>6448.22</v>
      </c>
      <c r="F96">
        <v>3873.69</v>
      </c>
      <c r="G96">
        <v>-424.23</v>
      </c>
      <c r="H96">
        <v>396.12</v>
      </c>
      <c r="J96">
        <v>2643</v>
      </c>
      <c r="K96" t="s">
        <v>250</v>
      </c>
      <c r="L96" t="s">
        <v>257</v>
      </c>
    </row>
    <row r="97" spans="1:12" x14ac:dyDescent="0.3">
      <c r="A97" t="s">
        <v>107</v>
      </c>
      <c r="B97" t="s">
        <v>227</v>
      </c>
      <c r="C97">
        <v>2020</v>
      </c>
      <c r="D97">
        <v>11614.32</v>
      </c>
      <c r="E97">
        <v>3001.89</v>
      </c>
      <c r="F97">
        <v>6439.26</v>
      </c>
      <c r="G97">
        <v>1568.21</v>
      </c>
      <c r="H97">
        <v>565.14</v>
      </c>
      <c r="J97">
        <v>687</v>
      </c>
      <c r="K97" t="s">
        <v>254</v>
      </c>
      <c r="L97" t="s">
        <v>255</v>
      </c>
    </row>
    <row r="98" spans="1:12" x14ac:dyDescent="0.3">
      <c r="A98" t="s">
        <v>108</v>
      </c>
      <c r="B98" t="s">
        <v>227</v>
      </c>
      <c r="C98">
        <v>2021</v>
      </c>
      <c r="D98">
        <v>16717.5</v>
      </c>
      <c r="E98">
        <v>8844.7800000000007</v>
      </c>
      <c r="F98">
        <v>9008.27</v>
      </c>
      <c r="G98">
        <v>1004.84</v>
      </c>
      <c r="H98">
        <v>454.19</v>
      </c>
      <c r="I98">
        <v>1964</v>
      </c>
      <c r="J98">
        <v>1810</v>
      </c>
      <c r="K98" t="s">
        <v>251</v>
      </c>
      <c r="L98" t="s">
        <v>257</v>
      </c>
    </row>
    <row r="99" spans="1:12" x14ac:dyDescent="0.3">
      <c r="A99" t="s">
        <v>109</v>
      </c>
      <c r="B99" t="s">
        <v>227</v>
      </c>
      <c r="C99">
        <v>2022</v>
      </c>
      <c r="D99">
        <v>16844.75</v>
      </c>
      <c r="E99">
        <v>1008.43</v>
      </c>
      <c r="F99">
        <v>8086.69</v>
      </c>
      <c r="G99">
        <v>4592.57</v>
      </c>
      <c r="H99">
        <v>9.57</v>
      </c>
      <c r="J99" t="s">
        <v>249</v>
      </c>
      <c r="K99" t="s">
        <v>251</v>
      </c>
      <c r="L99" t="s">
        <v>256</v>
      </c>
    </row>
    <row r="100" spans="1:12" x14ac:dyDescent="0.3">
      <c r="A100" t="s">
        <v>110</v>
      </c>
      <c r="B100" t="s">
        <v>227</v>
      </c>
      <c r="C100">
        <v>2023</v>
      </c>
      <c r="D100">
        <v>11051.05</v>
      </c>
      <c r="E100">
        <v>2499.5100000000002</v>
      </c>
      <c r="F100">
        <v>10791.87</v>
      </c>
      <c r="G100">
        <v>531.22</v>
      </c>
      <c r="H100">
        <v>337.44</v>
      </c>
      <c r="J100">
        <v>1676</v>
      </c>
      <c r="K100" t="s">
        <v>252</v>
      </c>
      <c r="L100" t="s">
        <v>255</v>
      </c>
    </row>
    <row r="101" spans="1:12" x14ac:dyDescent="0.3">
      <c r="A101" t="s">
        <v>111</v>
      </c>
      <c r="B101" t="s">
        <v>227</v>
      </c>
      <c r="C101">
        <v>2024</v>
      </c>
      <c r="D101">
        <v>8169.99</v>
      </c>
      <c r="E101">
        <v>7841.26</v>
      </c>
      <c r="F101">
        <v>8267.1299999999992</v>
      </c>
      <c r="G101">
        <v>5041.5600000000004</v>
      </c>
      <c r="H101">
        <v>177.26</v>
      </c>
      <c r="J101">
        <v>1380</v>
      </c>
      <c r="K101" t="s">
        <v>254</v>
      </c>
      <c r="L101" t="s">
        <v>256</v>
      </c>
    </row>
    <row r="102" spans="1:12" x14ac:dyDescent="0.3">
      <c r="A102" t="s">
        <v>112</v>
      </c>
      <c r="B102" t="s">
        <v>228</v>
      </c>
      <c r="C102">
        <v>2015</v>
      </c>
      <c r="D102">
        <v>2659.18</v>
      </c>
      <c r="E102">
        <v>15231.82</v>
      </c>
      <c r="F102">
        <v>5093.33</v>
      </c>
      <c r="G102">
        <v>4477.58</v>
      </c>
      <c r="H102">
        <v>316.76</v>
      </c>
      <c r="I102">
        <v>6584</v>
      </c>
      <c r="J102">
        <v>1440</v>
      </c>
      <c r="K102" t="s">
        <v>251</v>
      </c>
      <c r="L102" t="s">
        <v>255</v>
      </c>
    </row>
    <row r="103" spans="1:12" x14ac:dyDescent="0.3">
      <c r="A103" t="s">
        <v>113</v>
      </c>
      <c r="B103" t="s">
        <v>229</v>
      </c>
      <c r="C103">
        <v>2016</v>
      </c>
      <c r="D103">
        <v>13499.82</v>
      </c>
      <c r="E103">
        <v>3651.49</v>
      </c>
      <c r="F103">
        <v>15591.7</v>
      </c>
      <c r="G103">
        <v>1862.1</v>
      </c>
      <c r="H103">
        <v>575.14</v>
      </c>
      <c r="J103">
        <v>471</v>
      </c>
      <c r="K103" t="s">
        <v>251</v>
      </c>
      <c r="L103" t="s">
        <v>255</v>
      </c>
    </row>
    <row r="104" spans="1:12" x14ac:dyDescent="0.3">
      <c r="A104" t="s">
        <v>114</v>
      </c>
      <c r="B104" t="s">
        <v>228</v>
      </c>
      <c r="C104">
        <v>2017</v>
      </c>
      <c r="D104">
        <v>19099.23</v>
      </c>
      <c r="E104">
        <v>1541.29</v>
      </c>
      <c r="F104">
        <v>19040.46</v>
      </c>
      <c r="G104">
        <v>4907.4399999999996</v>
      </c>
      <c r="H104">
        <v>281.05</v>
      </c>
      <c r="I104">
        <v>7454</v>
      </c>
      <c r="J104" t="s">
        <v>249</v>
      </c>
      <c r="K104" t="s">
        <v>253</v>
      </c>
      <c r="L104" t="s">
        <v>256</v>
      </c>
    </row>
    <row r="105" spans="1:12" x14ac:dyDescent="0.3">
      <c r="A105" t="s">
        <v>115</v>
      </c>
      <c r="B105" t="s">
        <v>229</v>
      </c>
      <c r="C105">
        <v>2018</v>
      </c>
      <c r="D105">
        <v>7919.1</v>
      </c>
      <c r="E105">
        <v>5089.1899999999996</v>
      </c>
      <c r="F105">
        <v>1406.59</v>
      </c>
      <c r="G105">
        <v>3580.71</v>
      </c>
      <c r="H105">
        <v>189.69</v>
      </c>
      <c r="J105" t="s">
        <v>249</v>
      </c>
      <c r="K105" t="s">
        <v>251</v>
      </c>
      <c r="L105" t="s">
        <v>255</v>
      </c>
    </row>
    <row r="106" spans="1:12" x14ac:dyDescent="0.3">
      <c r="A106" t="s">
        <v>116</v>
      </c>
      <c r="B106" t="s">
        <v>228</v>
      </c>
      <c r="C106">
        <v>2019</v>
      </c>
      <c r="D106">
        <v>2712.26</v>
      </c>
      <c r="E106">
        <v>10774.62</v>
      </c>
      <c r="F106">
        <v>7874.3</v>
      </c>
      <c r="G106">
        <v>4383.62</v>
      </c>
      <c r="H106">
        <v>572.77</v>
      </c>
      <c r="I106">
        <v>772</v>
      </c>
      <c r="J106">
        <v>2391</v>
      </c>
      <c r="K106" t="s">
        <v>251</v>
      </c>
      <c r="L106" t="s">
        <v>257</v>
      </c>
    </row>
    <row r="107" spans="1:12" x14ac:dyDescent="0.3">
      <c r="A107" t="s">
        <v>117</v>
      </c>
      <c r="B107" t="s">
        <v>228</v>
      </c>
      <c r="C107">
        <v>2020</v>
      </c>
      <c r="D107">
        <v>2015.91</v>
      </c>
      <c r="E107">
        <v>2042.33</v>
      </c>
      <c r="F107">
        <v>18012.8</v>
      </c>
      <c r="G107">
        <v>1777.82</v>
      </c>
      <c r="H107">
        <v>430.02</v>
      </c>
      <c r="J107">
        <v>210</v>
      </c>
      <c r="K107" t="s">
        <v>252</v>
      </c>
      <c r="L107" t="s">
        <v>256</v>
      </c>
    </row>
    <row r="108" spans="1:12" x14ac:dyDescent="0.3">
      <c r="A108" t="s">
        <v>118</v>
      </c>
      <c r="B108" t="s">
        <v>228</v>
      </c>
      <c r="C108">
        <v>2021</v>
      </c>
      <c r="D108">
        <v>9415.5</v>
      </c>
      <c r="E108">
        <v>16539.27</v>
      </c>
      <c r="F108">
        <v>7932.11</v>
      </c>
      <c r="G108">
        <v>6519.11</v>
      </c>
      <c r="H108">
        <v>408.94</v>
      </c>
      <c r="I108">
        <v>957</v>
      </c>
      <c r="J108" t="s">
        <v>249</v>
      </c>
      <c r="K108" t="s">
        <v>250</v>
      </c>
      <c r="L108" t="s">
        <v>257</v>
      </c>
    </row>
    <row r="109" spans="1:12" x14ac:dyDescent="0.3">
      <c r="A109" t="s">
        <v>119</v>
      </c>
      <c r="B109" t="s">
        <v>228</v>
      </c>
      <c r="C109">
        <v>2022</v>
      </c>
      <c r="D109">
        <v>18231.47</v>
      </c>
      <c r="E109">
        <v>11886.84</v>
      </c>
      <c r="F109">
        <v>18154.95</v>
      </c>
      <c r="G109">
        <v>7606.08</v>
      </c>
      <c r="H109">
        <v>203.35</v>
      </c>
      <c r="I109">
        <v>2417</v>
      </c>
      <c r="J109" t="s">
        <v>249</v>
      </c>
      <c r="K109" t="s">
        <v>253</v>
      </c>
      <c r="L109" t="s">
        <v>257</v>
      </c>
    </row>
    <row r="110" spans="1:12" x14ac:dyDescent="0.3">
      <c r="A110" t="s">
        <v>120</v>
      </c>
      <c r="B110" t="s">
        <v>228</v>
      </c>
      <c r="C110">
        <v>2023</v>
      </c>
      <c r="D110">
        <v>14193.59</v>
      </c>
      <c r="E110">
        <v>11654.18</v>
      </c>
      <c r="F110">
        <v>6770.99</v>
      </c>
      <c r="G110">
        <v>-594.27</v>
      </c>
      <c r="H110">
        <v>423.18</v>
      </c>
      <c r="J110" t="s">
        <v>249</v>
      </c>
      <c r="K110" t="s">
        <v>254</v>
      </c>
      <c r="L110" t="s">
        <v>256</v>
      </c>
    </row>
    <row r="111" spans="1:12" x14ac:dyDescent="0.3">
      <c r="A111" t="s">
        <v>121</v>
      </c>
      <c r="B111" t="s">
        <v>229</v>
      </c>
      <c r="C111">
        <v>2024</v>
      </c>
      <c r="D111">
        <v>23803.65</v>
      </c>
      <c r="E111">
        <v>6282.84</v>
      </c>
      <c r="F111">
        <v>15393.28</v>
      </c>
      <c r="G111">
        <v>112.06</v>
      </c>
      <c r="H111">
        <v>599.99</v>
      </c>
      <c r="J111">
        <v>1261</v>
      </c>
      <c r="K111" t="s">
        <v>254</v>
      </c>
      <c r="L111" t="s">
        <v>257</v>
      </c>
    </row>
    <row r="112" spans="1:12" x14ac:dyDescent="0.3">
      <c r="A112" t="s">
        <v>122</v>
      </c>
      <c r="B112" t="s">
        <v>230</v>
      </c>
      <c r="C112">
        <v>2015</v>
      </c>
      <c r="D112">
        <v>1424.81</v>
      </c>
      <c r="E112">
        <v>6194.41</v>
      </c>
      <c r="F112">
        <v>15396.26</v>
      </c>
      <c r="G112">
        <v>-558.46</v>
      </c>
      <c r="H112">
        <v>229.15</v>
      </c>
      <c r="J112">
        <v>2887</v>
      </c>
      <c r="K112" t="s">
        <v>252</v>
      </c>
      <c r="L112" t="s">
        <v>255</v>
      </c>
    </row>
    <row r="113" spans="1:12" x14ac:dyDescent="0.3">
      <c r="A113" t="s">
        <v>123</v>
      </c>
      <c r="B113" t="s">
        <v>230</v>
      </c>
      <c r="C113">
        <v>2016</v>
      </c>
      <c r="D113">
        <v>6319.49</v>
      </c>
      <c r="E113">
        <v>8106.74</v>
      </c>
      <c r="F113">
        <v>5913.08</v>
      </c>
      <c r="G113">
        <v>6233.9</v>
      </c>
      <c r="H113">
        <v>272.11</v>
      </c>
      <c r="J113" t="s">
        <v>249</v>
      </c>
      <c r="K113" t="s">
        <v>253</v>
      </c>
      <c r="L113" t="s">
        <v>256</v>
      </c>
    </row>
    <row r="114" spans="1:12" x14ac:dyDescent="0.3">
      <c r="A114" t="s">
        <v>124</v>
      </c>
      <c r="B114" t="s">
        <v>230</v>
      </c>
      <c r="C114">
        <v>2017</v>
      </c>
      <c r="D114">
        <v>11294.64</v>
      </c>
      <c r="E114">
        <v>13896.01</v>
      </c>
      <c r="F114">
        <v>15629.04</v>
      </c>
      <c r="G114">
        <v>3531.97</v>
      </c>
      <c r="H114">
        <v>254.1</v>
      </c>
      <c r="J114">
        <v>2526</v>
      </c>
      <c r="K114" t="s">
        <v>251</v>
      </c>
      <c r="L114" t="s">
        <v>255</v>
      </c>
    </row>
    <row r="115" spans="1:12" x14ac:dyDescent="0.3">
      <c r="A115" t="s">
        <v>125</v>
      </c>
      <c r="B115" t="s">
        <v>230</v>
      </c>
      <c r="C115">
        <v>2018</v>
      </c>
      <c r="D115">
        <v>14086.25</v>
      </c>
      <c r="E115">
        <v>2026.1</v>
      </c>
      <c r="F115">
        <v>16964.080000000002</v>
      </c>
      <c r="G115">
        <v>7362.83</v>
      </c>
      <c r="H115">
        <v>174.61</v>
      </c>
      <c r="I115">
        <v>2726</v>
      </c>
      <c r="J115">
        <v>1890</v>
      </c>
      <c r="K115" t="s">
        <v>252</v>
      </c>
      <c r="L115" t="s">
        <v>255</v>
      </c>
    </row>
    <row r="116" spans="1:12" x14ac:dyDescent="0.3">
      <c r="A116" t="s">
        <v>126</v>
      </c>
      <c r="B116" t="s">
        <v>230</v>
      </c>
      <c r="C116">
        <v>2019</v>
      </c>
      <c r="D116">
        <v>11552.64</v>
      </c>
      <c r="E116">
        <v>6422.61</v>
      </c>
      <c r="F116">
        <v>825.4</v>
      </c>
      <c r="G116">
        <v>-1414.17</v>
      </c>
      <c r="H116">
        <v>303.69</v>
      </c>
      <c r="I116">
        <v>3962</v>
      </c>
      <c r="J116" t="s">
        <v>249</v>
      </c>
      <c r="K116" t="s">
        <v>253</v>
      </c>
      <c r="L116" t="s">
        <v>255</v>
      </c>
    </row>
    <row r="117" spans="1:12" x14ac:dyDescent="0.3">
      <c r="A117" t="s">
        <v>127</v>
      </c>
      <c r="B117" t="s">
        <v>230</v>
      </c>
      <c r="C117">
        <v>2020</v>
      </c>
      <c r="D117">
        <v>18010.25</v>
      </c>
      <c r="E117">
        <v>6168.17</v>
      </c>
      <c r="F117">
        <v>3177.17</v>
      </c>
      <c r="G117">
        <v>-1578.66</v>
      </c>
      <c r="H117">
        <v>550.85</v>
      </c>
      <c r="J117" t="s">
        <v>249</v>
      </c>
      <c r="K117" t="s">
        <v>252</v>
      </c>
      <c r="L117" t="s">
        <v>257</v>
      </c>
    </row>
    <row r="118" spans="1:12" x14ac:dyDescent="0.3">
      <c r="A118" t="s">
        <v>128</v>
      </c>
      <c r="B118" t="s">
        <v>231</v>
      </c>
      <c r="C118">
        <v>2021</v>
      </c>
      <c r="D118">
        <v>6770.14</v>
      </c>
      <c r="E118">
        <v>15062.34</v>
      </c>
      <c r="F118">
        <v>11111.44</v>
      </c>
      <c r="G118">
        <v>5999.58</v>
      </c>
      <c r="H118">
        <v>319.02</v>
      </c>
      <c r="I118">
        <v>1921</v>
      </c>
      <c r="J118" t="s">
        <v>249</v>
      </c>
      <c r="K118" t="s">
        <v>250</v>
      </c>
      <c r="L118" t="s">
        <v>255</v>
      </c>
    </row>
    <row r="119" spans="1:12" x14ac:dyDescent="0.3">
      <c r="A119" t="s">
        <v>129</v>
      </c>
      <c r="B119" t="s">
        <v>230</v>
      </c>
      <c r="C119">
        <v>2022</v>
      </c>
      <c r="D119">
        <v>15758.86</v>
      </c>
      <c r="E119">
        <v>1317.97</v>
      </c>
      <c r="F119">
        <v>16782.75</v>
      </c>
      <c r="G119">
        <v>3498.12</v>
      </c>
      <c r="H119">
        <v>323.95</v>
      </c>
      <c r="J119">
        <v>2993</v>
      </c>
      <c r="K119" t="s">
        <v>251</v>
      </c>
      <c r="L119" t="s">
        <v>256</v>
      </c>
    </row>
    <row r="120" spans="1:12" x14ac:dyDescent="0.3">
      <c r="A120" t="s">
        <v>130</v>
      </c>
      <c r="B120" t="s">
        <v>231</v>
      </c>
      <c r="C120">
        <v>2023</v>
      </c>
      <c r="D120">
        <v>14481.26</v>
      </c>
      <c r="E120">
        <v>3534.19</v>
      </c>
      <c r="F120">
        <v>13463.83</v>
      </c>
      <c r="G120">
        <v>3758.33</v>
      </c>
      <c r="H120">
        <v>219.56</v>
      </c>
      <c r="J120" t="s">
        <v>249</v>
      </c>
      <c r="K120" t="s">
        <v>250</v>
      </c>
      <c r="L120" t="s">
        <v>257</v>
      </c>
    </row>
    <row r="121" spans="1:12" x14ac:dyDescent="0.3">
      <c r="A121" t="s">
        <v>131</v>
      </c>
      <c r="B121" t="s">
        <v>230</v>
      </c>
      <c r="C121">
        <v>2024</v>
      </c>
      <c r="D121">
        <v>18809.259999999998</v>
      </c>
      <c r="E121">
        <v>6556.27</v>
      </c>
      <c r="F121">
        <v>1630.92</v>
      </c>
      <c r="G121">
        <v>652.39</v>
      </c>
      <c r="H121">
        <v>395.98</v>
      </c>
      <c r="I121">
        <v>1798</v>
      </c>
      <c r="J121">
        <v>596</v>
      </c>
      <c r="K121" t="s">
        <v>251</v>
      </c>
      <c r="L121" t="s">
        <v>257</v>
      </c>
    </row>
    <row r="122" spans="1:12" x14ac:dyDescent="0.3">
      <c r="A122" t="s">
        <v>132</v>
      </c>
      <c r="B122" t="s">
        <v>232</v>
      </c>
      <c r="C122">
        <v>2015</v>
      </c>
      <c r="D122">
        <v>20844.400000000001</v>
      </c>
      <c r="E122">
        <v>12387.35</v>
      </c>
      <c r="F122">
        <v>19622.14</v>
      </c>
      <c r="G122">
        <v>3263.84</v>
      </c>
      <c r="H122">
        <v>113.46</v>
      </c>
      <c r="J122" t="s">
        <v>249</v>
      </c>
      <c r="K122" t="s">
        <v>250</v>
      </c>
      <c r="L122" t="s">
        <v>256</v>
      </c>
    </row>
    <row r="123" spans="1:12" x14ac:dyDescent="0.3">
      <c r="A123" t="s">
        <v>133</v>
      </c>
      <c r="B123" t="s">
        <v>232</v>
      </c>
      <c r="C123">
        <v>2016</v>
      </c>
      <c r="D123">
        <v>22201.86</v>
      </c>
      <c r="E123">
        <v>5817.61</v>
      </c>
      <c r="F123">
        <v>6408.49</v>
      </c>
      <c r="G123">
        <v>2380.46</v>
      </c>
      <c r="H123">
        <v>490.17</v>
      </c>
      <c r="I123">
        <v>7856</v>
      </c>
      <c r="J123">
        <v>199</v>
      </c>
      <c r="K123" t="s">
        <v>251</v>
      </c>
      <c r="L123" t="s">
        <v>256</v>
      </c>
    </row>
    <row r="124" spans="1:12" x14ac:dyDescent="0.3">
      <c r="A124" t="s">
        <v>134</v>
      </c>
      <c r="B124" t="s">
        <v>232</v>
      </c>
      <c r="C124" t="s">
        <v>246</v>
      </c>
      <c r="D124">
        <v>16565.419999999998</v>
      </c>
      <c r="E124">
        <v>5063.26</v>
      </c>
      <c r="F124">
        <v>16047.05</v>
      </c>
      <c r="G124">
        <v>2806.47</v>
      </c>
      <c r="H124">
        <v>243.01</v>
      </c>
      <c r="I124">
        <v>7304</v>
      </c>
      <c r="J124">
        <v>1438</v>
      </c>
      <c r="K124" t="s">
        <v>252</v>
      </c>
      <c r="L124" t="s">
        <v>257</v>
      </c>
    </row>
    <row r="125" spans="1:12" x14ac:dyDescent="0.3">
      <c r="A125" t="s">
        <v>135</v>
      </c>
      <c r="B125" t="s">
        <v>232</v>
      </c>
      <c r="C125">
        <v>2018</v>
      </c>
      <c r="D125">
        <v>13222.26</v>
      </c>
      <c r="E125">
        <v>14460.44</v>
      </c>
      <c r="F125">
        <v>14623.5</v>
      </c>
      <c r="G125">
        <v>-1131.8</v>
      </c>
      <c r="H125">
        <v>363.46</v>
      </c>
      <c r="I125">
        <v>3056</v>
      </c>
      <c r="J125">
        <v>1365</v>
      </c>
      <c r="K125" t="s">
        <v>250</v>
      </c>
      <c r="L125" t="s">
        <v>256</v>
      </c>
    </row>
    <row r="126" spans="1:12" x14ac:dyDescent="0.3">
      <c r="A126" t="s">
        <v>136</v>
      </c>
      <c r="B126" t="s">
        <v>232</v>
      </c>
      <c r="C126">
        <v>2019</v>
      </c>
      <c r="D126">
        <v>15264.23</v>
      </c>
      <c r="E126">
        <v>7784.87</v>
      </c>
      <c r="F126">
        <v>13888.37</v>
      </c>
      <c r="G126">
        <v>1867.02</v>
      </c>
      <c r="H126">
        <v>30.2</v>
      </c>
      <c r="I126">
        <v>5876</v>
      </c>
      <c r="J126">
        <v>1174</v>
      </c>
      <c r="K126" t="s">
        <v>250</v>
      </c>
      <c r="L126" t="s">
        <v>257</v>
      </c>
    </row>
    <row r="127" spans="1:12" x14ac:dyDescent="0.3">
      <c r="A127" t="s">
        <v>137</v>
      </c>
      <c r="B127" t="s">
        <v>232</v>
      </c>
      <c r="C127">
        <v>2020</v>
      </c>
      <c r="D127">
        <v>20126.849999999999</v>
      </c>
      <c r="E127">
        <v>12293.51</v>
      </c>
      <c r="F127">
        <v>19069.95</v>
      </c>
      <c r="G127">
        <v>-429.43</v>
      </c>
      <c r="H127">
        <v>366.51</v>
      </c>
      <c r="J127">
        <v>567</v>
      </c>
      <c r="K127" t="s">
        <v>253</v>
      </c>
      <c r="L127" t="s">
        <v>257</v>
      </c>
    </row>
    <row r="128" spans="1:12" x14ac:dyDescent="0.3">
      <c r="A128" t="s">
        <v>138</v>
      </c>
      <c r="B128" t="s">
        <v>232</v>
      </c>
      <c r="C128">
        <v>2021</v>
      </c>
      <c r="D128">
        <v>14397.49</v>
      </c>
      <c r="E128">
        <v>10970.69</v>
      </c>
      <c r="F128">
        <v>13677.52</v>
      </c>
      <c r="G128">
        <v>8437.06</v>
      </c>
      <c r="H128">
        <v>226.35</v>
      </c>
      <c r="J128" t="s">
        <v>249</v>
      </c>
      <c r="K128" t="s">
        <v>252</v>
      </c>
      <c r="L128" t="s">
        <v>256</v>
      </c>
    </row>
    <row r="129" spans="1:12" x14ac:dyDescent="0.3">
      <c r="A129" t="s">
        <v>139</v>
      </c>
      <c r="B129" t="s">
        <v>232</v>
      </c>
      <c r="C129">
        <v>2022</v>
      </c>
      <c r="D129">
        <v>3279.49</v>
      </c>
      <c r="E129">
        <v>13295.01</v>
      </c>
      <c r="F129">
        <v>10131.17</v>
      </c>
      <c r="G129">
        <v>2256.86</v>
      </c>
      <c r="H129">
        <v>339.2</v>
      </c>
      <c r="I129">
        <v>4388</v>
      </c>
      <c r="J129" t="s">
        <v>249</v>
      </c>
      <c r="K129" t="s">
        <v>253</v>
      </c>
      <c r="L129" t="s">
        <v>257</v>
      </c>
    </row>
    <row r="130" spans="1:12" x14ac:dyDescent="0.3">
      <c r="A130" t="s">
        <v>140</v>
      </c>
      <c r="B130" t="s">
        <v>232</v>
      </c>
      <c r="C130">
        <v>2023</v>
      </c>
      <c r="D130">
        <v>12534.4</v>
      </c>
      <c r="E130">
        <v>2382.9499999999998</v>
      </c>
      <c r="F130">
        <v>17100.68</v>
      </c>
      <c r="G130">
        <v>2972.47</v>
      </c>
      <c r="H130">
        <v>539.71</v>
      </c>
      <c r="J130" t="s">
        <v>249</v>
      </c>
      <c r="K130" t="s">
        <v>251</v>
      </c>
      <c r="L130" t="s">
        <v>257</v>
      </c>
    </row>
    <row r="131" spans="1:12" x14ac:dyDescent="0.3">
      <c r="A131" t="s">
        <v>141</v>
      </c>
      <c r="B131" t="s">
        <v>233</v>
      </c>
      <c r="C131">
        <v>2024</v>
      </c>
      <c r="D131">
        <v>22337.63</v>
      </c>
      <c r="E131">
        <v>15354.24</v>
      </c>
      <c r="F131">
        <v>14322.64</v>
      </c>
      <c r="G131">
        <v>8200.57</v>
      </c>
      <c r="H131">
        <v>384.43</v>
      </c>
      <c r="J131">
        <v>547</v>
      </c>
      <c r="K131" t="s">
        <v>253</v>
      </c>
      <c r="L131" t="s">
        <v>255</v>
      </c>
    </row>
    <row r="132" spans="1:12" x14ac:dyDescent="0.3">
      <c r="A132" t="s">
        <v>142</v>
      </c>
      <c r="B132" t="s">
        <v>234</v>
      </c>
      <c r="C132" t="s">
        <v>243</v>
      </c>
      <c r="D132">
        <v>14073.53</v>
      </c>
      <c r="E132">
        <v>6766.62</v>
      </c>
      <c r="F132">
        <v>16132.14</v>
      </c>
      <c r="G132">
        <v>4068.12</v>
      </c>
      <c r="H132">
        <v>369.11</v>
      </c>
      <c r="J132" t="s">
        <v>249</v>
      </c>
      <c r="K132" t="s">
        <v>252</v>
      </c>
      <c r="L132" t="s">
        <v>257</v>
      </c>
    </row>
    <row r="133" spans="1:12" x14ac:dyDescent="0.3">
      <c r="A133" t="s">
        <v>143</v>
      </c>
      <c r="B133" t="s">
        <v>234</v>
      </c>
      <c r="C133">
        <v>2016</v>
      </c>
      <c r="D133">
        <v>14585.06</v>
      </c>
      <c r="E133">
        <v>2430.8200000000002</v>
      </c>
      <c r="F133">
        <v>6545.45</v>
      </c>
      <c r="G133">
        <v>-1184.18</v>
      </c>
      <c r="H133">
        <v>282.17</v>
      </c>
      <c r="I133">
        <v>8576</v>
      </c>
      <c r="J133">
        <v>575</v>
      </c>
      <c r="K133" t="s">
        <v>253</v>
      </c>
      <c r="L133" t="s">
        <v>256</v>
      </c>
    </row>
    <row r="134" spans="1:12" x14ac:dyDescent="0.3">
      <c r="A134" t="s">
        <v>144</v>
      </c>
      <c r="B134" t="s">
        <v>234</v>
      </c>
      <c r="C134">
        <v>2017</v>
      </c>
      <c r="D134">
        <v>20869.07</v>
      </c>
      <c r="E134">
        <v>9422.2199999999993</v>
      </c>
      <c r="F134">
        <v>6291.25</v>
      </c>
      <c r="G134">
        <v>-218.36</v>
      </c>
      <c r="H134">
        <v>561.16999999999996</v>
      </c>
      <c r="I134">
        <v>3794</v>
      </c>
      <c r="J134" t="s">
        <v>249</v>
      </c>
      <c r="K134" t="s">
        <v>250</v>
      </c>
      <c r="L134" t="s">
        <v>256</v>
      </c>
    </row>
    <row r="135" spans="1:12" x14ac:dyDescent="0.3">
      <c r="A135" t="s">
        <v>145</v>
      </c>
      <c r="B135" t="s">
        <v>234</v>
      </c>
      <c r="C135">
        <v>2018</v>
      </c>
      <c r="D135">
        <v>7224.05</v>
      </c>
      <c r="E135">
        <v>11325.4</v>
      </c>
      <c r="F135">
        <v>12404.24</v>
      </c>
      <c r="G135">
        <v>-972.29</v>
      </c>
      <c r="H135">
        <v>386.39</v>
      </c>
      <c r="J135" t="s">
        <v>249</v>
      </c>
      <c r="K135" t="s">
        <v>254</v>
      </c>
      <c r="L135" t="s">
        <v>255</v>
      </c>
    </row>
    <row r="136" spans="1:12" x14ac:dyDescent="0.3">
      <c r="A136" t="s">
        <v>146</v>
      </c>
      <c r="B136" t="s">
        <v>234</v>
      </c>
      <c r="C136" t="s">
        <v>244</v>
      </c>
      <c r="D136">
        <v>1613.81</v>
      </c>
      <c r="E136">
        <v>11617.88</v>
      </c>
      <c r="F136">
        <v>11662.39</v>
      </c>
      <c r="G136">
        <v>5162.43</v>
      </c>
      <c r="H136">
        <v>461.34</v>
      </c>
      <c r="J136" t="s">
        <v>249</v>
      </c>
      <c r="K136" t="s">
        <v>251</v>
      </c>
      <c r="L136" t="s">
        <v>256</v>
      </c>
    </row>
    <row r="137" spans="1:12" x14ac:dyDescent="0.3">
      <c r="A137" t="s">
        <v>147</v>
      </c>
      <c r="B137" t="s">
        <v>234</v>
      </c>
      <c r="C137">
        <v>2020</v>
      </c>
      <c r="D137">
        <v>10449.27</v>
      </c>
      <c r="E137">
        <v>8273.09</v>
      </c>
      <c r="F137">
        <v>13865.69</v>
      </c>
      <c r="G137">
        <v>-261.12</v>
      </c>
      <c r="H137">
        <v>252.29</v>
      </c>
      <c r="J137">
        <v>1443</v>
      </c>
      <c r="K137" t="s">
        <v>251</v>
      </c>
      <c r="L137" t="s">
        <v>257</v>
      </c>
    </row>
    <row r="138" spans="1:12" x14ac:dyDescent="0.3">
      <c r="A138" t="s">
        <v>148</v>
      </c>
      <c r="B138" t="s">
        <v>234</v>
      </c>
      <c r="C138">
        <v>2021</v>
      </c>
      <c r="D138">
        <v>8961.58</v>
      </c>
      <c r="E138">
        <v>7297.16</v>
      </c>
      <c r="F138">
        <v>15285.1</v>
      </c>
      <c r="G138">
        <v>3664.78</v>
      </c>
      <c r="H138">
        <v>68.180000000000007</v>
      </c>
      <c r="I138">
        <v>4060</v>
      </c>
      <c r="J138" t="s">
        <v>249</v>
      </c>
      <c r="K138" t="s">
        <v>252</v>
      </c>
      <c r="L138" t="s">
        <v>255</v>
      </c>
    </row>
    <row r="139" spans="1:12" x14ac:dyDescent="0.3">
      <c r="A139" t="s">
        <v>149</v>
      </c>
      <c r="B139" t="s">
        <v>234</v>
      </c>
      <c r="C139">
        <v>2022</v>
      </c>
      <c r="D139">
        <v>23661.93</v>
      </c>
      <c r="E139">
        <v>15582.12</v>
      </c>
      <c r="F139">
        <v>8537.25</v>
      </c>
      <c r="G139">
        <v>8589.5400000000009</v>
      </c>
      <c r="H139">
        <v>541.87</v>
      </c>
      <c r="I139">
        <v>5464</v>
      </c>
      <c r="J139">
        <v>827</v>
      </c>
      <c r="K139" t="s">
        <v>252</v>
      </c>
      <c r="L139" t="s">
        <v>257</v>
      </c>
    </row>
    <row r="140" spans="1:12" x14ac:dyDescent="0.3">
      <c r="A140" t="s">
        <v>150</v>
      </c>
      <c r="B140" t="s">
        <v>234</v>
      </c>
      <c r="C140">
        <v>2023</v>
      </c>
      <c r="D140">
        <v>12685.57</v>
      </c>
      <c r="E140">
        <v>1802.87</v>
      </c>
      <c r="F140">
        <v>8046.87</v>
      </c>
      <c r="G140">
        <v>3029.54</v>
      </c>
      <c r="H140">
        <v>148.22999999999999</v>
      </c>
      <c r="J140" t="s">
        <v>249</v>
      </c>
      <c r="K140" t="s">
        <v>252</v>
      </c>
      <c r="L140" t="s">
        <v>257</v>
      </c>
    </row>
    <row r="141" spans="1:12" x14ac:dyDescent="0.3">
      <c r="A141" t="s">
        <v>151</v>
      </c>
      <c r="B141" t="s">
        <v>234</v>
      </c>
      <c r="C141">
        <v>2024</v>
      </c>
      <c r="D141">
        <v>12029.38</v>
      </c>
      <c r="E141">
        <v>9753.1</v>
      </c>
      <c r="F141">
        <v>16989.3</v>
      </c>
      <c r="G141">
        <v>2740.21</v>
      </c>
      <c r="H141">
        <v>530.05999999999995</v>
      </c>
      <c r="I141">
        <v>6092</v>
      </c>
      <c r="J141">
        <v>1548</v>
      </c>
      <c r="K141" t="s">
        <v>252</v>
      </c>
      <c r="L141" t="s">
        <v>255</v>
      </c>
    </row>
    <row r="142" spans="1:12" x14ac:dyDescent="0.3">
      <c r="A142" t="s">
        <v>152</v>
      </c>
      <c r="B142" t="s">
        <v>235</v>
      </c>
      <c r="C142">
        <v>2015</v>
      </c>
      <c r="D142">
        <v>14053.96</v>
      </c>
      <c r="E142">
        <v>1508.87</v>
      </c>
      <c r="F142">
        <v>10233.83</v>
      </c>
      <c r="G142">
        <v>6408.45</v>
      </c>
      <c r="H142">
        <v>171.43</v>
      </c>
      <c r="J142" t="s">
        <v>249</v>
      </c>
      <c r="K142" t="s">
        <v>251</v>
      </c>
      <c r="L142" t="s">
        <v>256</v>
      </c>
    </row>
    <row r="143" spans="1:12" x14ac:dyDescent="0.3">
      <c r="A143" t="s">
        <v>153</v>
      </c>
      <c r="B143" t="s">
        <v>235</v>
      </c>
      <c r="C143">
        <v>2016</v>
      </c>
      <c r="D143">
        <v>4034.55</v>
      </c>
      <c r="E143">
        <v>10923.84</v>
      </c>
      <c r="F143">
        <v>8207.33</v>
      </c>
      <c r="G143">
        <v>-1557.2</v>
      </c>
      <c r="H143">
        <v>28.15</v>
      </c>
      <c r="I143">
        <v>5556</v>
      </c>
      <c r="J143" t="s">
        <v>249</v>
      </c>
      <c r="K143" t="s">
        <v>253</v>
      </c>
      <c r="L143" t="s">
        <v>257</v>
      </c>
    </row>
    <row r="144" spans="1:12" x14ac:dyDescent="0.3">
      <c r="A144" t="s">
        <v>154</v>
      </c>
      <c r="B144" t="s">
        <v>235</v>
      </c>
      <c r="C144">
        <v>2017</v>
      </c>
      <c r="D144">
        <v>23318.53</v>
      </c>
      <c r="E144">
        <v>5869.83</v>
      </c>
      <c r="F144">
        <v>8041.21</v>
      </c>
      <c r="G144">
        <v>4781.51</v>
      </c>
      <c r="H144">
        <v>506.35</v>
      </c>
      <c r="I144">
        <v>5611</v>
      </c>
      <c r="J144" t="s">
        <v>249</v>
      </c>
      <c r="K144" t="s">
        <v>252</v>
      </c>
      <c r="L144" t="s">
        <v>255</v>
      </c>
    </row>
    <row r="145" spans="1:12" x14ac:dyDescent="0.3">
      <c r="A145" t="s">
        <v>155</v>
      </c>
      <c r="B145" t="s">
        <v>235</v>
      </c>
      <c r="C145">
        <v>2018</v>
      </c>
      <c r="D145">
        <v>24507.5</v>
      </c>
      <c r="E145">
        <v>10589.9</v>
      </c>
      <c r="F145">
        <v>15996.07</v>
      </c>
      <c r="G145">
        <v>5978.57</v>
      </c>
      <c r="H145">
        <v>414.39</v>
      </c>
      <c r="I145">
        <v>536</v>
      </c>
      <c r="J145">
        <v>1137</v>
      </c>
      <c r="K145" t="s">
        <v>250</v>
      </c>
      <c r="L145" t="s">
        <v>257</v>
      </c>
    </row>
    <row r="146" spans="1:12" x14ac:dyDescent="0.3">
      <c r="A146" t="s">
        <v>156</v>
      </c>
      <c r="B146" t="s">
        <v>235</v>
      </c>
      <c r="C146">
        <v>2019</v>
      </c>
      <c r="D146">
        <v>18168.98</v>
      </c>
      <c r="E146">
        <v>13987.99</v>
      </c>
      <c r="F146">
        <v>7789.75</v>
      </c>
      <c r="G146">
        <v>7038.27</v>
      </c>
      <c r="H146">
        <v>149.11000000000001</v>
      </c>
      <c r="J146" t="s">
        <v>249</v>
      </c>
      <c r="K146" t="s">
        <v>251</v>
      </c>
      <c r="L146" t="s">
        <v>256</v>
      </c>
    </row>
    <row r="147" spans="1:12" x14ac:dyDescent="0.3">
      <c r="A147" t="s">
        <v>157</v>
      </c>
      <c r="B147" t="s">
        <v>235</v>
      </c>
      <c r="C147">
        <v>2020</v>
      </c>
      <c r="D147">
        <v>10554.25</v>
      </c>
      <c r="E147">
        <v>13994.51</v>
      </c>
      <c r="F147">
        <v>18434.259999999998</v>
      </c>
      <c r="G147">
        <v>7600.99</v>
      </c>
      <c r="H147">
        <v>442.82</v>
      </c>
      <c r="J147">
        <v>2174</v>
      </c>
      <c r="K147" t="s">
        <v>254</v>
      </c>
      <c r="L147" t="s">
        <v>256</v>
      </c>
    </row>
    <row r="148" spans="1:12" x14ac:dyDescent="0.3">
      <c r="A148" t="s">
        <v>158</v>
      </c>
      <c r="B148" t="s">
        <v>235</v>
      </c>
      <c r="C148">
        <v>2021</v>
      </c>
      <c r="D148">
        <v>9732.2099999999991</v>
      </c>
      <c r="E148">
        <v>17229</v>
      </c>
      <c r="F148">
        <v>9355.3700000000008</v>
      </c>
      <c r="G148">
        <v>3864.4</v>
      </c>
      <c r="H148">
        <v>330.03</v>
      </c>
      <c r="I148">
        <v>4431</v>
      </c>
      <c r="J148">
        <v>837</v>
      </c>
      <c r="K148" t="s">
        <v>251</v>
      </c>
      <c r="L148" t="s">
        <v>257</v>
      </c>
    </row>
    <row r="149" spans="1:12" x14ac:dyDescent="0.3">
      <c r="A149" t="s">
        <v>159</v>
      </c>
      <c r="B149" t="s">
        <v>235</v>
      </c>
      <c r="C149">
        <v>2022</v>
      </c>
      <c r="D149">
        <v>24565.38</v>
      </c>
      <c r="E149">
        <v>13926.9</v>
      </c>
      <c r="F149">
        <v>14186.55</v>
      </c>
      <c r="G149">
        <v>5592.64</v>
      </c>
      <c r="H149">
        <v>295.95999999999998</v>
      </c>
      <c r="I149">
        <v>7961</v>
      </c>
      <c r="J149" t="s">
        <v>249</v>
      </c>
      <c r="K149" t="s">
        <v>251</v>
      </c>
      <c r="L149" t="s">
        <v>255</v>
      </c>
    </row>
    <row r="150" spans="1:12" x14ac:dyDescent="0.3">
      <c r="A150" t="s">
        <v>160</v>
      </c>
      <c r="B150" t="s">
        <v>235</v>
      </c>
      <c r="C150">
        <v>2023</v>
      </c>
      <c r="D150">
        <v>22446.13</v>
      </c>
      <c r="E150">
        <v>7222.68</v>
      </c>
      <c r="F150">
        <v>7099.15</v>
      </c>
      <c r="G150">
        <v>6503.71</v>
      </c>
      <c r="H150">
        <v>92.15</v>
      </c>
      <c r="I150">
        <v>789</v>
      </c>
      <c r="J150">
        <v>2975</v>
      </c>
      <c r="K150" t="s">
        <v>251</v>
      </c>
      <c r="L150" t="s">
        <v>256</v>
      </c>
    </row>
    <row r="151" spans="1:12" x14ac:dyDescent="0.3">
      <c r="A151" t="s">
        <v>161</v>
      </c>
      <c r="B151" t="s">
        <v>235</v>
      </c>
      <c r="C151">
        <v>2024</v>
      </c>
      <c r="D151">
        <v>5742.68</v>
      </c>
      <c r="E151">
        <v>14937.54</v>
      </c>
      <c r="F151">
        <v>5641.31</v>
      </c>
      <c r="G151">
        <v>4182.2</v>
      </c>
      <c r="H151">
        <v>166.61</v>
      </c>
      <c r="J151">
        <v>1043</v>
      </c>
      <c r="K151" t="s">
        <v>254</v>
      </c>
      <c r="L151" t="s">
        <v>255</v>
      </c>
    </row>
    <row r="152" spans="1:12" x14ac:dyDescent="0.3">
      <c r="A152" t="s">
        <v>162</v>
      </c>
      <c r="B152" t="s">
        <v>236</v>
      </c>
      <c r="C152">
        <v>2015</v>
      </c>
      <c r="D152">
        <v>10625.88</v>
      </c>
      <c r="E152">
        <v>12968.97</v>
      </c>
      <c r="F152">
        <v>2280.73</v>
      </c>
      <c r="G152">
        <v>6478.43</v>
      </c>
      <c r="H152">
        <v>8.08</v>
      </c>
      <c r="I152">
        <v>2687</v>
      </c>
      <c r="J152" t="s">
        <v>249</v>
      </c>
      <c r="K152" t="s">
        <v>252</v>
      </c>
      <c r="L152" t="s">
        <v>257</v>
      </c>
    </row>
    <row r="153" spans="1:12" x14ac:dyDescent="0.3">
      <c r="A153" t="s">
        <v>163</v>
      </c>
      <c r="B153" t="s">
        <v>236</v>
      </c>
      <c r="C153">
        <v>2016</v>
      </c>
      <c r="D153">
        <v>8368.61</v>
      </c>
      <c r="E153">
        <v>11696.98</v>
      </c>
      <c r="F153">
        <v>18186.36</v>
      </c>
      <c r="G153">
        <v>-1015.93</v>
      </c>
      <c r="H153">
        <v>346.61</v>
      </c>
      <c r="J153" t="s">
        <v>249</v>
      </c>
      <c r="K153" t="s">
        <v>253</v>
      </c>
      <c r="L153" t="s">
        <v>255</v>
      </c>
    </row>
    <row r="154" spans="1:12" x14ac:dyDescent="0.3">
      <c r="A154" t="s">
        <v>164</v>
      </c>
      <c r="B154" t="s">
        <v>236</v>
      </c>
      <c r="C154">
        <v>2017</v>
      </c>
      <c r="D154">
        <v>12636.91</v>
      </c>
      <c r="E154">
        <v>16871.64</v>
      </c>
      <c r="F154">
        <v>19253.990000000002</v>
      </c>
      <c r="G154">
        <v>8186.44</v>
      </c>
      <c r="H154">
        <v>526.66</v>
      </c>
      <c r="I154">
        <v>251</v>
      </c>
      <c r="J154">
        <v>2376</v>
      </c>
      <c r="K154" t="s">
        <v>251</v>
      </c>
      <c r="L154" t="s">
        <v>256</v>
      </c>
    </row>
    <row r="155" spans="1:12" x14ac:dyDescent="0.3">
      <c r="A155" t="s">
        <v>165</v>
      </c>
      <c r="B155" t="s">
        <v>236</v>
      </c>
      <c r="C155">
        <v>2018</v>
      </c>
      <c r="D155">
        <v>13345.8</v>
      </c>
      <c r="E155">
        <v>16028.83</v>
      </c>
      <c r="F155">
        <v>2943.74</v>
      </c>
      <c r="G155">
        <v>3546.34</v>
      </c>
      <c r="H155">
        <v>167.34</v>
      </c>
      <c r="I155">
        <v>1945</v>
      </c>
      <c r="J155" t="s">
        <v>249</v>
      </c>
      <c r="K155" t="s">
        <v>251</v>
      </c>
      <c r="L155" t="s">
        <v>257</v>
      </c>
    </row>
    <row r="156" spans="1:12" x14ac:dyDescent="0.3">
      <c r="A156" t="s">
        <v>166</v>
      </c>
      <c r="B156" t="s">
        <v>236</v>
      </c>
      <c r="C156">
        <v>2019</v>
      </c>
      <c r="D156">
        <v>19873.810000000001</v>
      </c>
      <c r="E156">
        <v>10306.51</v>
      </c>
      <c r="F156">
        <v>15218.47</v>
      </c>
      <c r="G156">
        <v>-69.56</v>
      </c>
      <c r="H156">
        <v>514.41</v>
      </c>
      <c r="I156">
        <v>6743</v>
      </c>
      <c r="J156" t="s">
        <v>249</v>
      </c>
      <c r="K156" t="s">
        <v>250</v>
      </c>
      <c r="L156" t="s">
        <v>256</v>
      </c>
    </row>
    <row r="157" spans="1:12" x14ac:dyDescent="0.3">
      <c r="A157" t="s">
        <v>167</v>
      </c>
      <c r="B157" t="s">
        <v>236</v>
      </c>
      <c r="C157">
        <v>2020</v>
      </c>
      <c r="D157">
        <v>3944.99</v>
      </c>
      <c r="E157">
        <v>5960.11</v>
      </c>
      <c r="F157">
        <v>5186.53</v>
      </c>
      <c r="G157">
        <v>868.64</v>
      </c>
      <c r="H157">
        <v>145.13999999999999</v>
      </c>
      <c r="I157">
        <v>4474</v>
      </c>
      <c r="J157">
        <v>1286</v>
      </c>
      <c r="K157" t="s">
        <v>251</v>
      </c>
      <c r="L157" t="s">
        <v>257</v>
      </c>
    </row>
    <row r="158" spans="1:12" x14ac:dyDescent="0.3">
      <c r="A158" t="s">
        <v>168</v>
      </c>
      <c r="B158" t="s">
        <v>236</v>
      </c>
      <c r="C158">
        <v>2021</v>
      </c>
      <c r="D158">
        <v>16860.759999999998</v>
      </c>
      <c r="E158">
        <v>8484.0300000000007</v>
      </c>
      <c r="F158">
        <v>3446.42</v>
      </c>
      <c r="G158">
        <v>5546.81</v>
      </c>
      <c r="H158">
        <v>554.25</v>
      </c>
      <c r="J158" t="s">
        <v>249</v>
      </c>
      <c r="K158" t="s">
        <v>251</v>
      </c>
      <c r="L158" t="s">
        <v>257</v>
      </c>
    </row>
    <row r="159" spans="1:12" x14ac:dyDescent="0.3">
      <c r="A159" t="s">
        <v>169</v>
      </c>
      <c r="B159" t="s">
        <v>236</v>
      </c>
      <c r="C159">
        <v>2022</v>
      </c>
      <c r="D159">
        <v>12215.46</v>
      </c>
      <c r="E159">
        <v>8298.6200000000008</v>
      </c>
      <c r="F159">
        <v>19780.11</v>
      </c>
      <c r="G159">
        <v>2109.87</v>
      </c>
      <c r="H159">
        <v>422.65</v>
      </c>
      <c r="J159">
        <v>1063</v>
      </c>
      <c r="K159" t="s">
        <v>254</v>
      </c>
      <c r="L159" t="s">
        <v>256</v>
      </c>
    </row>
    <row r="160" spans="1:12" x14ac:dyDescent="0.3">
      <c r="A160" t="s">
        <v>170</v>
      </c>
      <c r="B160" t="s">
        <v>236</v>
      </c>
      <c r="C160">
        <v>2023</v>
      </c>
      <c r="D160">
        <v>22972.5</v>
      </c>
      <c r="E160">
        <v>2197.3200000000002</v>
      </c>
      <c r="F160">
        <v>16626.849999999999</v>
      </c>
      <c r="G160">
        <v>7931.77</v>
      </c>
      <c r="H160">
        <v>125.28</v>
      </c>
      <c r="J160" t="s">
        <v>249</v>
      </c>
      <c r="K160" t="s">
        <v>254</v>
      </c>
      <c r="L160" t="s">
        <v>256</v>
      </c>
    </row>
    <row r="161" spans="1:12" x14ac:dyDescent="0.3">
      <c r="A161" t="s">
        <v>171</v>
      </c>
      <c r="B161" t="s">
        <v>236</v>
      </c>
      <c r="C161">
        <v>2024</v>
      </c>
      <c r="D161">
        <v>14787.12</v>
      </c>
      <c r="E161">
        <v>1818.76</v>
      </c>
      <c r="F161">
        <v>10354.39</v>
      </c>
      <c r="G161">
        <v>6895.61</v>
      </c>
      <c r="H161">
        <v>274.79000000000002</v>
      </c>
      <c r="I161">
        <v>8509</v>
      </c>
      <c r="J161">
        <v>1921</v>
      </c>
      <c r="K161" t="s">
        <v>254</v>
      </c>
      <c r="L161" t="s">
        <v>256</v>
      </c>
    </row>
    <row r="162" spans="1:12" x14ac:dyDescent="0.3">
      <c r="A162" t="s">
        <v>172</v>
      </c>
      <c r="B162" t="s">
        <v>237</v>
      </c>
      <c r="C162">
        <v>2015</v>
      </c>
      <c r="D162">
        <v>1033.3800000000001</v>
      </c>
      <c r="E162">
        <v>4729.34</v>
      </c>
      <c r="F162">
        <v>359.4</v>
      </c>
      <c r="G162">
        <v>396.91</v>
      </c>
      <c r="H162">
        <v>48.45</v>
      </c>
      <c r="I162">
        <v>7041</v>
      </c>
      <c r="J162">
        <v>2918</v>
      </c>
      <c r="K162" t="s">
        <v>254</v>
      </c>
      <c r="L162" t="s">
        <v>255</v>
      </c>
    </row>
    <row r="163" spans="1:12" x14ac:dyDescent="0.3">
      <c r="A163" t="s">
        <v>173</v>
      </c>
      <c r="B163" t="s">
        <v>237</v>
      </c>
      <c r="C163">
        <v>2016</v>
      </c>
      <c r="D163">
        <v>23377.5</v>
      </c>
      <c r="E163">
        <v>764.88</v>
      </c>
      <c r="F163">
        <v>8354.68</v>
      </c>
      <c r="G163">
        <v>6458.69</v>
      </c>
      <c r="H163">
        <v>460.67</v>
      </c>
      <c r="I163">
        <v>6987</v>
      </c>
      <c r="J163" t="s">
        <v>249</v>
      </c>
      <c r="K163" t="s">
        <v>252</v>
      </c>
      <c r="L163" t="s">
        <v>256</v>
      </c>
    </row>
    <row r="164" spans="1:12" x14ac:dyDescent="0.3">
      <c r="A164" t="s">
        <v>174</v>
      </c>
      <c r="B164" t="s">
        <v>238</v>
      </c>
      <c r="C164">
        <v>2017</v>
      </c>
      <c r="D164">
        <v>21926.57</v>
      </c>
      <c r="E164">
        <v>2567.2199999999998</v>
      </c>
      <c r="F164">
        <v>17247.650000000001</v>
      </c>
      <c r="G164">
        <v>-695.04</v>
      </c>
      <c r="H164">
        <v>595.74</v>
      </c>
      <c r="J164">
        <v>962</v>
      </c>
      <c r="K164" t="s">
        <v>250</v>
      </c>
      <c r="L164" t="s">
        <v>256</v>
      </c>
    </row>
    <row r="165" spans="1:12" x14ac:dyDescent="0.3">
      <c r="A165" t="s">
        <v>175</v>
      </c>
      <c r="B165" t="s">
        <v>237</v>
      </c>
      <c r="C165">
        <v>2018</v>
      </c>
      <c r="D165">
        <v>10891.14</v>
      </c>
      <c r="E165">
        <v>6951.12</v>
      </c>
      <c r="F165">
        <v>4824.38</v>
      </c>
      <c r="G165">
        <v>3066.88</v>
      </c>
      <c r="H165">
        <v>97.3</v>
      </c>
      <c r="J165" t="s">
        <v>249</v>
      </c>
      <c r="K165" t="s">
        <v>254</v>
      </c>
      <c r="L165" t="s">
        <v>255</v>
      </c>
    </row>
    <row r="166" spans="1:12" x14ac:dyDescent="0.3">
      <c r="A166" t="s">
        <v>176</v>
      </c>
      <c r="B166" t="s">
        <v>237</v>
      </c>
      <c r="C166">
        <v>2019</v>
      </c>
      <c r="D166">
        <v>15051.63</v>
      </c>
      <c r="E166">
        <v>8146.65</v>
      </c>
      <c r="F166">
        <v>13538.87</v>
      </c>
      <c r="G166">
        <v>7594.34</v>
      </c>
      <c r="H166">
        <v>150.62</v>
      </c>
      <c r="I166">
        <v>824</v>
      </c>
      <c r="J166">
        <v>1847</v>
      </c>
      <c r="K166" t="s">
        <v>254</v>
      </c>
      <c r="L166" t="s">
        <v>255</v>
      </c>
    </row>
    <row r="167" spans="1:12" x14ac:dyDescent="0.3">
      <c r="A167" t="s">
        <v>177</v>
      </c>
      <c r="B167" t="s">
        <v>237</v>
      </c>
      <c r="C167">
        <v>2020</v>
      </c>
      <c r="D167">
        <v>3933.32</v>
      </c>
      <c r="E167">
        <v>17884.009999999998</v>
      </c>
      <c r="F167">
        <v>4912.9799999999996</v>
      </c>
      <c r="G167">
        <v>8080.37</v>
      </c>
      <c r="H167">
        <v>347.79</v>
      </c>
      <c r="J167">
        <v>1286</v>
      </c>
      <c r="K167" t="s">
        <v>254</v>
      </c>
      <c r="L167" t="s">
        <v>255</v>
      </c>
    </row>
    <row r="168" spans="1:12" x14ac:dyDescent="0.3">
      <c r="A168" t="s">
        <v>178</v>
      </c>
      <c r="B168" t="s">
        <v>237</v>
      </c>
      <c r="C168">
        <v>2021</v>
      </c>
      <c r="D168">
        <v>14139.59</v>
      </c>
      <c r="E168">
        <v>10731.67</v>
      </c>
      <c r="F168">
        <v>14783.68</v>
      </c>
      <c r="G168">
        <v>-73.53</v>
      </c>
      <c r="H168">
        <v>408.86</v>
      </c>
      <c r="J168" t="s">
        <v>249</v>
      </c>
      <c r="K168" t="s">
        <v>254</v>
      </c>
      <c r="L168" t="s">
        <v>256</v>
      </c>
    </row>
    <row r="169" spans="1:12" x14ac:dyDescent="0.3">
      <c r="A169" t="s">
        <v>179</v>
      </c>
      <c r="B169" t="s">
        <v>237</v>
      </c>
      <c r="C169">
        <v>2022</v>
      </c>
      <c r="D169">
        <v>7847.27</v>
      </c>
      <c r="E169">
        <v>3473.05</v>
      </c>
      <c r="F169">
        <v>10897.19</v>
      </c>
      <c r="G169">
        <v>650.65</v>
      </c>
      <c r="H169">
        <v>139.08000000000001</v>
      </c>
      <c r="I169">
        <v>2465</v>
      </c>
      <c r="J169" t="s">
        <v>249</v>
      </c>
      <c r="K169" t="s">
        <v>252</v>
      </c>
      <c r="L169" t="s">
        <v>257</v>
      </c>
    </row>
    <row r="170" spans="1:12" x14ac:dyDescent="0.3">
      <c r="A170" t="s">
        <v>180</v>
      </c>
      <c r="B170" t="s">
        <v>237</v>
      </c>
      <c r="C170">
        <v>2023</v>
      </c>
      <c r="D170">
        <v>6747.39</v>
      </c>
      <c r="E170">
        <v>6078.68</v>
      </c>
      <c r="F170">
        <v>1857.69</v>
      </c>
      <c r="G170">
        <v>2947.66</v>
      </c>
      <c r="H170">
        <v>225.79</v>
      </c>
      <c r="J170" t="s">
        <v>249</v>
      </c>
      <c r="K170" t="s">
        <v>252</v>
      </c>
      <c r="L170" t="s">
        <v>257</v>
      </c>
    </row>
    <row r="171" spans="1:12" x14ac:dyDescent="0.3">
      <c r="A171" t="s">
        <v>181</v>
      </c>
      <c r="B171" t="s">
        <v>237</v>
      </c>
      <c r="C171" t="s">
        <v>247</v>
      </c>
      <c r="D171">
        <v>2283.2199999999998</v>
      </c>
      <c r="E171">
        <v>14522.78</v>
      </c>
      <c r="F171">
        <v>11875.4</v>
      </c>
      <c r="G171">
        <v>5385.96</v>
      </c>
      <c r="H171">
        <v>134.12</v>
      </c>
      <c r="I171">
        <v>3522</v>
      </c>
      <c r="J171">
        <v>1291</v>
      </c>
      <c r="K171" t="s">
        <v>253</v>
      </c>
      <c r="L171" t="s">
        <v>255</v>
      </c>
    </row>
    <row r="172" spans="1:12" x14ac:dyDescent="0.3">
      <c r="A172" t="s">
        <v>182</v>
      </c>
      <c r="B172" t="s">
        <v>239</v>
      </c>
      <c r="C172">
        <v>2015</v>
      </c>
      <c r="D172">
        <v>24989.51</v>
      </c>
      <c r="E172">
        <v>8724.7900000000009</v>
      </c>
      <c r="F172">
        <v>5079.09</v>
      </c>
      <c r="G172">
        <v>4648.42</v>
      </c>
      <c r="H172">
        <v>126.69</v>
      </c>
      <c r="I172">
        <v>4021</v>
      </c>
      <c r="J172" t="s">
        <v>249</v>
      </c>
      <c r="K172" t="s">
        <v>252</v>
      </c>
      <c r="L172" t="s">
        <v>257</v>
      </c>
    </row>
    <row r="173" spans="1:12" x14ac:dyDescent="0.3">
      <c r="A173" t="s">
        <v>183</v>
      </c>
      <c r="B173" t="s">
        <v>239</v>
      </c>
      <c r="C173">
        <v>2016</v>
      </c>
      <c r="D173">
        <v>9311.2900000000009</v>
      </c>
      <c r="E173">
        <v>15914.05</v>
      </c>
      <c r="F173">
        <v>9480.2800000000007</v>
      </c>
      <c r="G173">
        <v>6830.98</v>
      </c>
      <c r="H173">
        <v>434.84</v>
      </c>
      <c r="J173" t="s">
        <v>249</v>
      </c>
      <c r="K173" t="s">
        <v>252</v>
      </c>
      <c r="L173" t="s">
        <v>255</v>
      </c>
    </row>
    <row r="174" spans="1:12" x14ac:dyDescent="0.3">
      <c r="A174" t="s">
        <v>184</v>
      </c>
      <c r="B174" t="s">
        <v>239</v>
      </c>
      <c r="C174">
        <v>2017</v>
      </c>
      <c r="D174">
        <v>4075.11</v>
      </c>
      <c r="E174">
        <v>4841.78</v>
      </c>
      <c r="F174">
        <v>18714.740000000002</v>
      </c>
      <c r="G174">
        <v>4370.57</v>
      </c>
      <c r="H174">
        <v>253.46</v>
      </c>
      <c r="J174">
        <v>1401</v>
      </c>
      <c r="K174" t="s">
        <v>252</v>
      </c>
      <c r="L174" t="s">
        <v>257</v>
      </c>
    </row>
    <row r="175" spans="1:12" x14ac:dyDescent="0.3">
      <c r="A175" t="s">
        <v>185</v>
      </c>
      <c r="B175" t="s">
        <v>239</v>
      </c>
      <c r="C175">
        <v>2018</v>
      </c>
      <c r="D175">
        <v>16537.900000000001</v>
      </c>
      <c r="E175">
        <v>12390.27</v>
      </c>
      <c r="F175">
        <v>5369.34</v>
      </c>
      <c r="G175">
        <v>7037.51</v>
      </c>
      <c r="H175">
        <v>580.07000000000005</v>
      </c>
      <c r="I175">
        <v>8137</v>
      </c>
      <c r="J175" t="s">
        <v>249</v>
      </c>
      <c r="K175" t="s">
        <v>253</v>
      </c>
      <c r="L175" t="s">
        <v>255</v>
      </c>
    </row>
    <row r="176" spans="1:12" x14ac:dyDescent="0.3">
      <c r="A176" t="s">
        <v>186</v>
      </c>
      <c r="B176" t="s">
        <v>239</v>
      </c>
      <c r="C176">
        <v>2019</v>
      </c>
      <c r="D176">
        <v>22964.04</v>
      </c>
      <c r="E176">
        <v>9850.0400000000009</v>
      </c>
      <c r="F176">
        <v>12943.65</v>
      </c>
      <c r="G176">
        <v>-1353.95</v>
      </c>
      <c r="H176">
        <v>25.13</v>
      </c>
      <c r="J176" t="s">
        <v>249</v>
      </c>
      <c r="K176" t="s">
        <v>253</v>
      </c>
      <c r="L176" t="s">
        <v>257</v>
      </c>
    </row>
    <row r="177" spans="1:12" x14ac:dyDescent="0.3">
      <c r="A177" t="s">
        <v>187</v>
      </c>
      <c r="B177" t="s">
        <v>239</v>
      </c>
      <c r="C177">
        <v>2020</v>
      </c>
      <c r="D177">
        <v>723.97</v>
      </c>
      <c r="E177">
        <v>9202.0499999999993</v>
      </c>
      <c r="F177">
        <v>7652.05</v>
      </c>
      <c r="G177">
        <v>4796.1899999999996</v>
      </c>
      <c r="H177">
        <v>401.72</v>
      </c>
      <c r="I177">
        <v>8016</v>
      </c>
      <c r="J177">
        <v>114</v>
      </c>
      <c r="K177" t="s">
        <v>254</v>
      </c>
      <c r="L177" t="s">
        <v>257</v>
      </c>
    </row>
    <row r="178" spans="1:12" x14ac:dyDescent="0.3">
      <c r="A178" t="s">
        <v>188</v>
      </c>
      <c r="B178" t="s">
        <v>239</v>
      </c>
      <c r="C178" t="s">
        <v>248</v>
      </c>
      <c r="D178">
        <v>18193.72</v>
      </c>
      <c r="E178">
        <v>9736.14</v>
      </c>
      <c r="F178">
        <v>5947.76</v>
      </c>
      <c r="G178">
        <v>3524.38</v>
      </c>
      <c r="H178">
        <v>420.23</v>
      </c>
      <c r="J178">
        <v>488</v>
      </c>
      <c r="K178" t="s">
        <v>254</v>
      </c>
      <c r="L178" t="s">
        <v>255</v>
      </c>
    </row>
    <row r="179" spans="1:12" x14ac:dyDescent="0.3">
      <c r="A179" t="s">
        <v>189</v>
      </c>
      <c r="B179" t="s">
        <v>239</v>
      </c>
      <c r="C179">
        <v>2022</v>
      </c>
      <c r="D179">
        <v>6684.25</v>
      </c>
      <c r="E179">
        <v>6509.05</v>
      </c>
      <c r="F179">
        <v>15960.25</v>
      </c>
      <c r="G179">
        <v>-1130.79</v>
      </c>
      <c r="H179">
        <v>575.78</v>
      </c>
      <c r="J179">
        <v>2905</v>
      </c>
      <c r="K179" t="s">
        <v>251</v>
      </c>
      <c r="L179" t="s">
        <v>257</v>
      </c>
    </row>
    <row r="180" spans="1:12" x14ac:dyDescent="0.3">
      <c r="A180" t="s">
        <v>190</v>
      </c>
      <c r="B180" t="s">
        <v>239</v>
      </c>
      <c r="C180">
        <v>2023</v>
      </c>
      <c r="D180">
        <v>24796.03</v>
      </c>
      <c r="E180">
        <v>11768.12</v>
      </c>
      <c r="F180">
        <v>924.18</v>
      </c>
      <c r="G180">
        <v>2458.06</v>
      </c>
      <c r="H180">
        <v>229.42</v>
      </c>
      <c r="J180">
        <v>2658</v>
      </c>
      <c r="K180" t="s">
        <v>253</v>
      </c>
      <c r="L180" t="s">
        <v>255</v>
      </c>
    </row>
    <row r="181" spans="1:12" x14ac:dyDescent="0.3">
      <c r="A181" t="s">
        <v>191</v>
      </c>
      <c r="B181" t="s">
        <v>239</v>
      </c>
      <c r="C181">
        <v>2024</v>
      </c>
      <c r="D181">
        <v>19717.22</v>
      </c>
      <c r="E181">
        <v>10272.25</v>
      </c>
      <c r="F181">
        <v>17201.82</v>
      </c>
      <c r="G181">
        <v>-951.02</v>
      </c>
      <c r="H181">
        <v>319.25</v>
      </c>
      <c r="J181" t="s">
        <v>249</v>
      </c>
      <c r="K181" t="s">
        <v>251</v>
      </c>
      <c r="L181" t="s">
        <v>255</v>
      </c>
    </row>
    <row r="182" spans="1:12" x14ac:dyDescent="0.3">
      <c r="A182" t="s">
        <v>192</v>
      </c>
      <c r="B182" t="s">
        <v>240</v>
      </c>
      <c r="C182">
        <v>2015</v>
      </c>
      <c r="D182">
        <v>7369.14</v>
      </c>
      <c r="E182">
        <v>9865.9500000000007</v>
      </c>
      <c r="F182">
        <v>13264.75</v>
      </c>
      <c r="G182">
        <v>-27.1</v>
      </c>
      <c r="H182">
        <v>511</v>
      </c>
      <c r="J182">
        <v>2454</v>
      </c>
      <c r="K182" t="s">
        <v>252</v>
      </c>
      <c r="L182" t="s">
        <v>255</v>
      </c>
    </row>
    <row r="183" spans="1:12" x14ac:dyDescent="0.3">
      <c r="A183" t="s">
        <v>193</v>
      </c>
      <c r="B183" t="s">
        <v>240</v>
      </c>
      <c r="C183">
        <v>2016</v>
      </c>
      <c r="D183">
        <v>14384.05</v>
      </c>
      <c r="E183">
        <v>15320.08</v>
      </c>
      <c r="F183">
        <v>13637.59</v>
      </c>
      <c r="G183">
        <v>3946.19</v>
      </c>
      <c r="H183">
        <v>233.39</v>
      </c>
      <c r="J183" t="s">
        <v>249</v>
      </c>
      <c r="K183" t="s">
        <v>250</v>
      </c>
      <c r="L183" t="s">
        <v>255</v>
      </c>
    </row>
    <row r="184" spans="1:12" x14ac:dyDescent="0.3">
      <c r="A184" t="s">
        <v>194</v>
      </c>
      <c r="B184" t="s">
        <v>240</v>
      </c>
      <c r="C184">
        <v>2017</v>
      </c>
      <c r="D184">
        <v>8844.52</v>
      </c>
      <c r="E184">
        <v>13888.3</v>
      </c>
      <c r="F184">
        <v>19110.71</v>
      </c>
      <c r="G184">
        <v>2363.73</v>
      </c>
      <c r="H184">
        <v>465.27</v>
      </c>
      <c r="I184">
        <v>585</v>
      </c>
      <c r="J184" t="s">
        <v>249</v>
      </c>
      <c r="K184" t="s">
        <v>253</v>
      </c>
      <c r="L184" t="s">
        <v>256</v>
      </c>
    </row>
    <row r="185" spans="1:12" x14ac:dyDescent="0.3">
      <c r="A185" t="s">
        <v>195</v>
      </c>
      <c r="B185" t="s">
        <v>240</v>
      </c>
      <c r="C185">
        <v>2018</v>
      </c>
      <c r="D185">
        <v>5050.58</v>
      </c>
      <c r="E185">
        <v>10628.58</v>
      </c>
      <c r="F185">
        <v>7787.43</v>
      </c>
      <c r="G185">
        <v>6493.84</v>
      </c>
      <c r="H185">
        <v>180.75</v>
      </c>
      <c r="J185" t="s">
        <v>249</v>
      </c>
      <c r="K185" t="s">
        <v>253</v>
      </c>
      <c r="L185" t="s">
        <v>256</v>
      </c>
    </row>
    <row r="186" spans="1:12" x14ac:dyDescent="0.3">
      <c r="A186" t="s">
        <v>196</v>
      </c>
      <c r="B186" t="s">
        <v>240</v>
      </c>
      <c r="C186">
        <v>2019</v>
      </c>
      <c r="D186">
        <v>18621.55</v>
      </c>
      <c r="E186">
        <v>5836.87</v>
      </c>
      <c r="F186">
        <v>2399.0500000000002</v>
      </c>
      <c r="G186">
        <v>-1942.85</v>
      </c>
      <c r="H186">
        <v>188.42</v>
      </c>
      <c r="I186">
        <v>5996</v>
      </c>
      <c r="J186">
        <v>468</v>
      </c>
      <c r="K186" t="s">
        <v>250</v>
      </c>
      <c r="L186" t="s">
        <v>255</v>
      </c>
    </row>
    <row r="187" spans="1:12" x14ac:dyDescent="0.3">
      <c r="A187" t="s">
        <v>197</v>
      </c>
      <c r="B187" t="s">
        <v>240</v>
      </c>
      <c r="C187">
        <v>2020</v>
      </c>
      <c r="D187">
        <v>13054.8</v>
      </c>
      <c r="E187">
        <v>2038.61</v>
      </c>
      <c r="F187">
        <v>2065.4899999999998</v>
      </c>
      <c r="G187">
        <v>4096.42</v>
      </c>
      <c r="H187">
        <v>360.17</v>
      </c>
      <c r="I187">
        <v>5415</v>
      </c>
      <c r="J187" t="s">
        <v>249</v>
      </c>
      <c r="K187" t="s">
        <v>252</v>
      </c>
      <c r="L187" t="s">
        <v>256</v>
      </c>
    </row>
    <row r="188" spans="1:12" x14ac:dyDescent="0.3">
      <c r="A188" t="s">
        <v>198</v>
      </c>
      <c r="B188" t="s">
        <v>240</v>
      </c>
      <c r="C188">
        <v>2021</v>
      </c>
      <c r="D188">
        <v>14208.65</v>
      </c>
      <c r="E188">
        <v>17870.599999999999</v>
      </c>
      <c r="F188">
        <v>5082.03</v>
      </c>
      <c r="G188">
        <v>3732.15</v>
      </c>
      <c r="H188">
        <v>412.76</v>
      </c>
      <c r="J188" t="s">
        <v>249</v>
      </c>
      <c r="K188" t="s">
        <v>251</v>
      </c>
      <c r="L188" t="s">
        <v>256</v>
      </c>
    </row>
    <row r="189" spans="1:12" x14ac:dyDescent="0.3">
      <c r="A189" t="s">
        <v>199</v>
      </c>
      <c r="B189" t="s">
        <v>240</v>
      </c>
      <c r="C189">
        <v>2022</v>
      </c>
      <c r="D189">
        <v>7261.07</v>
      </c>
      <c r="E189">
        <v>5535.59</v>
      </c>
      <c r="F189">
        <v>15718.53</v>
      </c>
      <c r="G189">
        <v>1972.37</v>
      </c>
      <c r="H189">
        <v>566.80999999999995</v>
      </c>
      <c r="J189">
        <v>1925</v>
      </c>
      <c r="K189" t="s">
        <v>253</v>
      </c>
      <c r="L189" t="s">
        <v>256</v>
      </c>
    </row>
    <row r="190" spans="1:12" x14ac:dyDescent="0.3">
      <c r="A190" t="s">
        <v>200</v>
      </c>
      <c r="B190" t="s">
        <v>241</v>
      </c>
      <c r="C190">
        <v>2023</v>
      </c>
      <c r="D190">
        <v>21119.53</v>
      </c>
      <c r="E190">
        <v>6962.04</v>
      </c>
      <c r="F190">
        <v>17285.310000000001</v>
      </c>
      <c r="G190">
        <v>2842.45</v>
      </c>
      <c r="H190">
        <v>261.22000000000003</v>
      </c>
      <c r="I190">
        <v>2330</v>
      </c>
      <c r="J190">
        <v>1363</v>
      </c>
      <c r="K190" t="s">
        <v>252</v>
      </c>
      <c r="L190" t="s">
        <v>256</v>
      </c>
    </row>
    <row r="191" spans="1:12" x14ac:dyDescent="0.3">
      <c r="A191" t="s">
        <v>201</v>
      </c>
      <c r="B191" t="s">
        <v>240</v>
      </c>
      <c r="C191">
        <v>2024</v>
      </c>
      <c r="D191">
        <v>8318.8700000000008</v>
      </c>
      <c r="E191">
        <v>13280.76</v>
      </c>
      <c r="F191">
        <v>12768.18</v>
      </c>
      <c r="G191">
        <v>8645.39</v>
      </c>
      <c r="H191">
        <v>470.27</v>
      </c>
      <c r="I191">
        <v>5439</v>
      </c>
      <c r="J191" t="s">
        <v>249</v>
      </c>
      <c r="K191" t="s">
        <v>251</v>
      </c>
      <c r="L191" t="s">
        <v>255</v>
      </c>
    </row>
    <row r="192" spans="1:12" x14ac:dyDescent="0.3">
      <c r="A192" t="s">
        <v>202</v>
      </c>
      <c r="B192" t="s">
        <v>242</v>
      </c>
      <c r="C192">
        <v>2015</v>
      </c>
      <c r="D192">
        <v>24932.99</v>
      </c>
      <c r="E192">
        <v>3402.7</v>
      </c>
      <c r="F192">
        <v>15422.07</v>
      </c>
      <c r="G192">
        <v>-1703.92</v>
      </c>
      <c r="H192">
        <v>437.69</v>
      </c>
      <c r="I192">
        <v>3534</v>
      </c>
      <c r="J192">
        <v>1243</v>
      </c>
      <c r="K192" t="s">
        <v>252</v>
      </c>
      <c r="L192" t="s">
        <v>257</v>
      </c>
    </row>
    <row r="193" spans="1:12" x14ac:dyDescent="0.3">
      <c r="A193" t="s">
        <v>203</v>
      </c>
      <c r="B193" t="s">
        <v>242</v>
      </c>
      <c r="C193">
        <v>2016</v>
      </c>
      <c r="D193">
        <v>6429.52</v>
      </c>
      <c r="E193">
        <v>11924.2</v>
      </c>
      <c r="F193">
        <v>14390.16</v>
      </c>
      <c r="G193">
        <v>6679.84</v>
      </c>
      <c r="H193">
        <v>49.01</v>
      </c>
      <c r="I193">
        <v>7951</v>
      </c>
      <c r="J193" t="s">
        <v>249</v>
      </c>
      <c r="K193" t="s">
        <v>254</v>
      </c>
      <c r="L193" t="s">
        <v>255</v>
      </c>
    </row>
    <row r="194" spans="1:12" x14ac:dyDescent="0.3">
      <c r="A194" t="s">
        <v>204</v>
      </c>
      <c r="B194" t="s">
        <v>242</v>
      </c>
      <c r="C194">
        <v>2017</v>
      </c>
      <c r="D194">
        <v>22439.79</v>
      </c>
      <c r="E194">
        <v>9756.93</v>
      </c>
      <c r="F194">
        <v>12872.15</v>
      </c>
      <c r="G194">
        <v>-1065.2</v>
      </c>
      <c r="H194">
        <v>462.53</v>
      </c>
      <c r="J194">
        <v>2700</v>
      </c>
      <c r="K194" t="s">
        <v>254</v>
      </c>
      <c r="L194" t="s">
        <v>257</v>
      </c>
    </row>
    <row r="195" spans="1:12" x14ac:dyDescent="0.3">
      <c r="A195" t="s">
        <v>205</v>
      </c>
      <c r="B195" t="s">
        <v>242</v>
      </c>
      <c r="C195">
        <v>2018</v>
      </c>
      <c r="D195">
        <v>18940.73</v>
      </c>
      <c r="E195">
        <v>17389.759999999998</v>
      </c>
      <c r="F195">
        <v>8779.9699999999993</v>
      </c>
      <c r="G195">
        <v>-1883.97</v>
      </c>
      <c r="H195">
        <v>158.94999999999999</v>
      </c>
      <c r="J195" t="s">
        <v>249</v>
      </c>
      <c r="K195" t="s">
        <v>252</v>
      </c>
      <c r="L195" t="s">
        <v>256</v>
      </c>
    </row>
    <row r="196" spans="1:12" x14ac:dyDescent="0.3">
      <c r="A196" t="s">
        <v>206</v>
      </c>
      <c r="B196" t="s">
        <v>242</v>
      </c>
      <c r="C196">
        <v>2019</v>
      </c>
      <c r="D196">
        <v>12761.41</v>
      </c>
      <c r="E196">
        <v>6340.42</v>
      </c>
      <c r="F196">
        <v>783.88</v>
      </c>
      <c r="G196">
        <v>-849.96</v>
      </c>
      <c r="H196">
        <v>252.51</v>
      </c>
      <c r="J196" t="s">
        <v>249</v>
      </c>
      <c r="K196" t="s">
        <v>251</v>
      </c>
      <c r="L196" t="s">
        <v>256</v>
      </c>
    </row>
    <row r="197" spans="1:12" x14ac:dyDescent="0.3">
      <c r="A197" t="s">
        <v>207</v>
      </c>
      <c r="B197" t="s">
        <v>242</v>
      </c>
      <c r="C197">
        <v>2020</v>
      </c>
      <c r="D197">
        <v>12331.69</v>
      </c>
      <c r="E197">
        <v>8675.69</v>
      </c>
      <c r="F197">
        <v>8931.8700000000008</v>
      </c>
      <c r="G197">
        <v>5664.4</v>
      </c>
      <c r="H197">
        <v>194.75</v>
      </c>
      <c r="J197">
        <v>2961</v>
      </c>
      <c r="K197" t="s">
        <v>250</v>
      </c>
      <c r="L197" t="s">
        <v>256</v>
      </c>
    </row>
    <row r="198" spans="1:12" x14ac:dyDescent="0.3">
      <c r="A198" t="s">
        <v>208</v>
      </c>
      <c r="B198" t="s">
        <v>242</v>
      </c>
      <c r="C198">
        <v>2021</v>
      </c>
      <c r="D198">
        <v>4526.68</v>
      </c>
      <c r="E198">
        <v>17713.43</v>
      </c>
      <c r="F198">
        <v>5105.09</v>
      </c>
      <c r="G198">
        <v>-81.010000000000005</v>
      </c>
      <c r="H198">
        <v>100.28</v>
      </c>
      <c r="I198">
        <v>7085</v>
      </c>
      <c r="J198" t="s">
        <v>249</v>
      </c>
      <c r="K198" t="s">
        <v>253</v>
      </c>
      <c r="L198" t="s">
        <v>255</v>
      </c>
    </row>
    <row r="199" spans="1:12" x14ac:dyDescent="0.3">
      <c r="A199" t="s">
        <v>209</v>
      </c>
      <c r="B199" t="s">
        <v>242</v>
      </c>
      <c r="C199">
        <v>2022</v>
      </c>
      <c r="D199">
        <v>1215.21</v>
      </c>
      <c r="E199">
        <v>11131.1</v>
      </c>
      <c r="F199">
        <v>4187.29</v>
      </c>
      <c r="G199">
        <v>4514.2299999999996</v>
      </c>
      <c r="H199">
        <v>236.36</v>
      </c>
      <c r="J199">
        <v>1190</v>
      </c>
      <c r="K199" t="s">
        <v>254</v>
      </c>
      <c r="L199" t="s">
        <v>255</v>
      </c>
    </row>
    <row r="200" spans="1:12" x14ac:dyDescent="0.3">
      <c r="A200" t="s">
        <v>210</v>
      </c>
      <c r="B200" t="s">
        <v>242</v>
      </c>
      <c r="C200">
        <v>2023</v>
      </c>
      <c r="D200">
        <v>9461.93</v>
      </c>
      <c r="E200">
        <v>3707.92</v>
      </c>
      <c r="F200">
        <v>2544.91</v>
      </c>
      <c r="G200">
        <v>5377.72</v>
      </c>
      <c r="H200">
        <v>296.24</v>
      </c>
      <c r="I200">
        <v>5234</v>
      </c>
      <c r="J200" t="s">
        <v>249</v>
      </c>
      <c r="K200" t="s">
        <v>254</v>
      </c>
      <c r="L200" t="s">
        <v>255</v>
      </c>
    </row>
    <row r="201" spans="1:12" x14ac:dyDescent="0.3">
      <c r="A201" t="s">
        <v>211</v>
      </c>
      <c r="B201" t="s">
        <v>242</v>
      </c>
      <c r="C201">
        <v>2024</v>
      </c>
      <c r="D201">
        <v>15625.39</v>
      </c>
      <c r="E201">
        <v>14684.54</v>
      </c>
      <c r="F201">
        <v>14207.97</v>
      </c>
      <c r="G201">
        <v>1271.8900000000001</v>
      </c>
      <c r="H201">
        <v>370.62</v>
      </c>
      <c r="J201">
        <v>1332</v>
      </c>
      <c r="K201" t="s">
        <v>253</v>
      </c>
      <c r="L201" t="s">
        <v>256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01"/>
  <sheetViews>
    <sheetView topLeftCell="A2" workbookViewId="0">
      <selection activeCell="C22" sqref="C22"/>
    </sheetView>
  </sheetViews>
  <sheetFormatPr defaultRowHeight="14.4" x14ac:dyDescent="0.3"/>
  <cols>
    <col min="1" max="1" width="14.33203125" customWidth="1"/>
    <col min="2" max="2" width="20.5546875" bestFit="1" customWidth="1"/>
    <col min="3" max="3" width="20.5546875" customWidth="1"/>
    <col min="4" max="4" width="9.109375" bestFit="1" customWidth="1"/>
    <col min="5" max="5" width="22.6640625" bestFit="1" customWidth="1"/>
    <col min="6" max="6" width="23.88671875" bestFit="1" customWidth="1"/>
    <col min="7" max="7" width="27.21875" bestFit="1" customWidth="1"/>
    <col min="8" max="8" width="18.6640625" bestFit="1" customWidth="1"/>
    <col min="9" max="9" width="30.21875" bestFit="1" customWidth="1"/>
    <col min="10" max="10" width="26.109375" bestFit="1" customWidth="1"/>
    <col min="11" max="11" width="24.21875" bestFit="1" customWidth="1"/>
    <col min="12" max="12" width="15.109375" bestFit="1" customWidth="1"/>
    <col min="13" max="13" width="20.77734375" bestFit="1" customWidth="1"/>
    <col min="14" max="14" width="23" bestFit="1" customWidth="1"/>
    <col min="15" max="15" width="29.6640625" bestFit="1" customWidth="1"/>
    <col min="16" max="16" width="19.33203125" bestFit="1" customWidth="1"/>
    <col min="17" max="17" width="16.44140625" bestFit="1" customWidth="1"/>
  </cols>
  <sheetData>
    <row r="1" spans="1:17" x14ac:dyDescent="0.3">
      <c r="A1" s="4" t="s">
        <v>0</v>
      </c>
      <c r="B1" s="4" t="s">
        <v>1</v>
      </c>
      <c r="C1" s="4" t="s">
        <v>267</v>
      </c>
      <c r="D1" s="4" t="s">
        <v>2</v>
      </c>
      <c r="E1" s="4" t="s">
        <v>3</v>
      </c>
      <c r="F1" s="4" t="s">
        <v>4</v>
      </c>
      <c r="G1" s="4" t="s">
        <v>5</v>
      </c>
      <c r="H1" s="4" t="s">
        <v>6</v>
      </c>
      <c r="I1" s="4" t="s">
        <v>7</v>
      </c>
      <c r="J1" s="4" t="s">
        <v>8</v>
      </c>
      <c r="K1" s="4" t="s">
        <v>9</v>
      </c>
      <c r="L1" s="4" t="s">
        <v>10</v>
      </c>
      <c r="M1" s="4" t="s">
        <v>11</v>
      </c>
      <c r="N1" s="4" t="s">
        <v>263</v>
      </c>
      <c r="O1" s="4" t="s">
        <v>265</v>
      </c>
      <c r="P1" s="4" t="s">
        <v>272</v>
      </c>
      <c r="Q1" s="4" t="s">
        <v>280</v>
      </c>
    </row>
    <row r="2" spans="1:17" x14ac:dyDescent="0.3">
      <c r="A2" t="s">
        <v>12</v>
      </c>
      <c r="B2" t="s">
        <v>212</v>
      </c>
      <c r="C2" t="str">
        <f t="shared" ref="C2:C33" si="0">IF(OR(B2="Atom Bank",B2="Monzo Bank",B2="Starling bank",B2="Revolut UK"),"Digital","Traditional")</f>
        <v>Traditional</v>
      </c>
      <c r="D2">
        <v>2015</v>
      </c>
      <c r="E2" s="1">
        <v>7238.22</v>
      </c>
      <c r="F2" s="1">
        <v>4173.1499999999996</v>
      </c>
      <c r="G2" s="1">
        <v>14808.48</v>
      </c>
      <c r="H2" s="1">
        <v>5443.69</v>
      </c>
      <c r="I2" s="1">
        <v>535.85</v>
      </c>
      <c r="J2" s="3">
        <v>1524</v>
      </c>
      <c r="K2" s="3">
        <v>180</v>
      </c>
      <c r="L2" t="s">
        <v>250</v>
      </c>
      <c r="M2" t="s">
        <v>255</v>
      </c>
      <c r="N2" s="8">
        <f t="shared" ref="N2:N65" si="1">G2/E2*100</f>
        <v>204.58731566600625</v>
      </c>
      <c r="O2" s="7">
        <f t="shared" ref="O2:O65" si="2">F2/E2</f>
        <v>0.57654368062866279</v>
      </c>
      <c r="P2" s="7">
        <f t="shared" ref="P2:P65" si="3">I2/E2</f>
        <v>7.4030631840424854E-2</v>
      </c>
      <c r="Q2" s="7">
        <f t="shared" ref="Q2:Q33" si="4">H2/E2</f>
        <v>0.75207578658841534</v>
      </c>
    </row>
    <row r="3" spans="1:17" x14ac:dyDescent="0.3">
      <c r="A3" t="s">
        <v>13</v>
      </c>
      <c r="B3" t="s">
        <v>212</v>
      </c>
      <c r="C3" t="str">
        <f t="shared" si="0"/>
        <v>Traditional</v>
      </c>
      <c r="D3">
        <v>2016</v>
      </c>
      <c r="E3" s="1">
        <v>14250.5</v>
      </c>
      <c r="F3" s="1">
        <v>12945.15</v>
      </c>
      <c r="G3" s="1">
        <v>14116.1</v>
      </c>
      <c r="H3" s="1">
        <v>2614.7199999999998</v>
      </c>
      <c r="I3" s="1">
        <v>272.27999999999997</v>
      </c>
      <c r="J3" s="3">
        <v>0</v>
      </c>
      <c r="K3" s="3">
        <v>0</v>
      </c>
      <c r="L3" t="s">
        <v>251</v>
      </c>
      <c r="M3" t="s">
        <v>256</v>
      </c>
      <c r="N3" s="8">
        <f t="shared" si="1"/>
        <v>99.056875197361492</v>
      </c>
      <c r="O3" s="7">
        <f t="shared" si="2"/>
        <v>0.90839970527349911</v>
      </c>
      <c r="P3" s="7">
        <f t="shared" si="3"/>
        <v>1.9106698010596116E-2</v>
      </c>
      <c r="Q3" s="7">
        <f t="shared" si="4"/>
        <v>0.18348268481807656</v>
      </c>
    </row>
    <row r="4" spans="1:17" x14ac:dyDescent="0.3">
      <c r="A4" t="s">
        <v>14</v>
      </c>
      <c r="B4" t="s">
        <v>212</v>
      </c>
      <c r="C4" t="str">
        <f t="shared" si="0"/>
        <v>Traditional</v>
      </c>
      <c r="D4">
        <v>2017</v>
      </c>
      <c r="E4" s="1">
        <v>8746.57</v>
      </c>
      <c r="F4" s="1">
        <v>1850.88</v>
      </c>
      <c r="G4" s="1">
        <v>2205.31</v>
      </c>
      <c r="H4" s="1">
        <v>7322.44</v>
      </c>
      <c r="I4" s="1">
        <v>364.22</v>
      </c>
      <c r="J4" s="3">
        <v>811</v>
      </c>
      <c r="K4" s="3">
        <v>2246</v>
      </c>
      <c r="L4" t="s">
        <v>251</v>
      </c>
      <c r="M4" t="s">
        <v>255</v>
      </c>
      <c r="N4" s="8">
        <f t="shared" si="1"/>
        <v>25.213426520338828</v>
      </c>
      <c r="O4" s="7">
        <f t="shared" si="2"/>
        <v>0.21161209479830381</v>
      </c>
      <c r="P4" s="7">
        <f t="shared" si="3"/>
        <v>4.1641466311937138E-2</v>
      </c>
      <c r="Q4" s="7">
        <f t="shared" si="4"/>
        <v>0.83717845967047655</v>
      </c>
    </row>
    <row r="5" spans="1:17" x14ac:dyDescent="0.3">
      <c r="A5" t="s">
        <v>15</v>
      </c>
      <c r="B5" t="s">
        <v>212</v>
      </c>
      <c r="C5" t="str">
        <f t="shared" si="0"/>
        <v>Traditional</v>
      </c>
      <c r="D5">
        <v>2018</v>
      </c>
      <c r="E5" s="1">
        <v>15653.73</v>
      </c>
      <c r="F5" s="1">
        <v>15538.38</v>
      </c>
      <c r="G5" s="1">
        <v>11673.84</v>
      </c>
      <c r="H5" s="1">
        <v>5750.29</v>
      </c>
      <c r="I5" s="1">
        <v>32.270000000000003</v>
      </c>
      <c r="J5" s="3">
        <v>3833</v>
      </c>
      <c r="K5" s="3">
        <v>376</v>
      </c>
      <c r="L5" t="s">
        <v>250</v>
      </c>
      <c r="M5" t="s">
        <v>256</v>
      </c>
      <c r="N5" s="8">
        <f t="shared" si="1"/>
        <v>74.575452623751659</v>
      </c>
      <c r="O5" s="7">
        <f t="shared" si="2"/>
        <v>0.99263114925324503</v>
      </c>
      <c r="P5" s="7">
        <f t="shared" si="3"/>
        <v>2.0614894980301823E-3</v>
      </c>
      <c r="Q5" s="7">
        <f t="shared" si="4"/>
        <v>0.36734311886048887</v>
      </c>
    </row>
    <row r="6" spans="1:17" x14ac:dyDescent="0.3">
      <c r="A6" t="s">
        <v>16</v>
      </c>
      <c r="B6" t="s">
        <v>212</v>
      </c>
      <c r="C6" t="str">
        <f t="shared" si="0"/>
        <v>Traditional</v>
      </c>
      <c r="D6">
        <v>2019</v>
      </c>
      <c r="E6" s="1">
        <v>9438.39</v>
      </c>
      <c r="F6" s="1">
        <v>6789.22</v>
      </c>
      <c r="G6" s="1">
        <v>4427.29</v>
      </c>
      <c r="H6" s="1">
        <v>936.76</v>
      </c>
      <c r="I6" s="1">
        <v>562.30999999999995</v>
      </c>
      <c r="J6" s="3">
        <v>0</v>
      </c>
      <c r="K6" s="3">
        <v>2237</v>
      </c>
      <c r="L6" t="s">
        <v>253</v>
      </c>
      <c r="M6" t="s">
        <v>256</v>
      </c>
      <c r="N6" s="8">
        <f t="shared" si="1"/>
        <v>46.907258547273422</v>
      </c>
      <c r="O6" s="7">
        <f t="shared" si="2"/>
        <v>0.7193197144852036</v>
      </c>
      <c r="P6" s="7">
        <f t="shared" si="3"/>
        <v>5.9576898178608853E-2</v>
      </c>
      <c r="Q6" s="7">
        <f t="shared" si="4"/>
        <v>9.9249978015318291E-2</v>
      </c>
    </row>
    <row r="7" spans="1:17" x14ac:dyDescent="0.3">
      <c r="A7" t="s">
        <v>17</v>
      </c>
      <c r="B7" t="s">
        <v>212</v>
      </c>
      <c r="C7" t="str">
        <f t="shared" si="0"/>
        <v>Traditional</v>
      </c>
      <c r="D7">
        <v>2020</v>
      </c>
      <c r="E7" s="1">
        <v>16179.99</v>
      </c>
      <c r="F7" s="1">
        <v>10113.709999999999</v>
      </c>
      <c r="G7" s="1">
        <v>13786.9</v>
      </c>
      <c r="H7" s="1">
        <v>7271.37</v>
      </c>
      <c r="I7" s="1">
        <v>466.72</v>
      </c>
      <c r="J7" s="3">
        <v>0</v>
      </c>
      <c r="K7" s="3">
        <v>0</v>
      </c>
      <c r="L7" t="s">
        <v>251</v>
      </c>
      <c r="M7" t="s">
        <v>255</v>
      </c>
      <c r="N7" s="8">
        <f t="shared" si="1"/>
        <v>85.209570586879224</v>
      </c>
      <c r="O7" s="7">
        <f t="shared" si="2"/>
        <v>0.62507517000937574</v>
      </c>
      <c r="P7" s="7">
        <f t="shared" si="3"/>
        <v>2.884550608498522E-2</v>
      </c>
      <c r="Q7" s="7">
        <f t="shared" si="4"/>
        <v>0.4494050985198384</v>
      </c>
    </row>
    <row r="8" spans="1:17" x14ac:dyDescent="0.3">
      <c r="A8" t="s">
        <v>18</v>
      </c>
      <c r="B8" t="s">
        <v>212</v>
      </c>
      <c r="C8" t="str">
        <f t="shared" si="0"/>
        <v>Traditional</v>
      </c>
      <c r="D8">
        <v>2021</v>
      </c>
      <c r="E8" s="1">
        <v>21971.01</v>
      </c>
      <c r="F8" s="1">
        <v>5801.27</v>
      </c>
      <c r="G8" s="1">
        <v>13212.14</v>
      </c>
      <c r="H8" s="1">
        <v>2351.9499999999998</v>
      </c>
      <c r="I8" s="1">
        <v>549.16</v>
      </c>
      <c r="J8" s="3">
        <v>0</v>
      </c>
      <c r="K8" s="3">
        <v>1134</v>
      </c>
      <c r="L8" t="s">
        <v>253</v>
      </c>
      <c r="M8" t="s">
        <v>257</v>
      </c>
      <c r="N8" s="8">
        <f t="shared" si="1"/>
        <v>60.134422586854221</v>
      </c>
      <c r="O8" s="7">
        <f t="shared" si="2"/>
        <v>0.26404202628827717</v>
      </c>
      <c r="P8" s="7">
        <f t="shared" si="3"/>
        <v>2.4994754451433957E-2</v>
      </c>
      <c r="Q8" s="7">
        <f t="shared" si="4"/>
        <v>0.10704787809026531</v>
      </c>
    </row>
    <row r="9" spans="1:17" x14ac:dyDescent="0.3">
      <c r="A9" t="s">
        <v>19</v>
      </c>
      <c r="B9" t="s">
        <v>212</v>
      </c>
      <c r="C9" t="str">
        <f t="shared" si="0"/>
        <v>Traditional</v>
      </c>
      <c r="D9">
        <v>2022</v>
      </c>
      <c r="E9" s="1">
        <v>14822.36</v>
      </c>
      <c r="F9" s="1">
        <v>16181.25</v>
      </c>
      <c r="G9" s="1">
        <v>8168.19</v>
      </c>
      <c r="H9" s="1">
        <v>412.53</v>
      </c>
      <c r="I9" s="1">
        <v>598.53</v>
      </c>
      <c r="J9" s="3">
        <v>8448</v>
      </c>
      <c r="K9" s="3">
        <v>422</v>
      </c>
      <c r="L9" t="s">
        <v>250</v>
      </c>
      <c r="M9" t="s">
        <v>255</v>
      </c>
      <c r="N9" s="8">
        <f t="shared" si="1"/>
        <v>55.107216394690184</v>
      </c>
      <c r="O9" s="7">
        <f t="shared" si="2"/>
        <v>1.0916783831994366</v>
      </c>
      <c r="P9" s="7">
        <f t="shared" si="3"/>
        <v>4.0380209359373267E-2</v>
      </c>
      <c r="Q9" s="7">
        <f t="shared" si="4"/>
        <v>2.7831600365933629E-2</v>
      </c>
    </row>
    <row r="10" spans="1:17" x14ac:dyDescent="0.3">
      <c r="A10" t="s">
        <v>20</v>
      </c>
      <c r="B10" t="s">
        <v>212</v>
      </c>
      <c r="C10" t="str">
        <f t="shared" si="0"/>
        <v>Traditional</v>
      </c>
      <c r="D10">
        <v>2023</v>
      </c>
      <c r="E10" s="1">
        <v>10842.92</v>
      </c>
      <c r="F10" s="1">
        <v>1330.79</v>
      </c>
      <c r="G10" s="1">
        <v>7817.9</v>
      </c>
      <c r="H10" s="1">
        <v>8957.34</v>
      </c>
      <c r="I10" s="1">
        <v>319.82</v>
      </c>
      <c r="J10" s="3">
        <v>0</v>
      </c>
      <c r="K10" s="3">
        <v>0</v>
      </c>
      <c r="L10" t="s">
        <v>251</v>
      </c>
      <c r="M10" t="s">
        <v>255</v>
      </c>
      <c r="N10" s="8">
        <f t="shared" si="1"/>
        <v>72.101426552994937</v>
      </c>
      <c r="O10" s="7">
        <f t="shared" si="2"/>
        <v>0.1227335441006666</v>
      </c>
      <c r="P10" s="7">
        <f t="shared" si="3"/>
        <v>2.9495744688700091E-2</v>
      </c>
      <c r="Q10" s="7">
        <f t="shared" si="4"/>
        <v>0.82610034935238852</v>
      </c>
    </row>
    <row r="11" spans="1:17" x14ac:dyDescent="0.3">
      <c r="A11" t="s">
        <v>21</v>
      </c>
      <c r="B11" t="s">
        <v>212</v>
      </c>
      <c r="C11" t="str">
        <f t="shared" si="0"/>
        <v>Traditional</v>
      </c>
      <c r="D11">
        <v>2024</v>
      </c>
      <c r="E11" s="1">
        <v>579.51</v>
      </c>
      <c r="F11" s="1">
        <v>13053.24</v>
      </c>
      <c r="G11" s="1">
        <v>14477.71</v>
      </c>
      <c r="H11" s="1">
        <v>8690.77</v>
      </c>
      <c r="I11" s="1">
        <v>458.37</v>
      </c>
      <c r="J11" s="3">
        <v>0</v>
      </c>
      <c r="K11" s="3">
        <v>0</v>
      </c>
      <c r="L11" t="s">
        <v>250</v>
      </c>
      <c r="M11" t="s">
        <v>257</v>
      </c>
      <c r="N11" s="8">
        <f t="shared" si="1"/>
        <v>2498.2675018550153</v>
      </c>
      <c r="O11" s="7">
        <f t="shared" si="2"/>
        <v>22.52461562354403</v>
      </c>
      <c r="P11" s="7">
        <f t="shared" si="3"/>
        <v>0.79096132939897501</v>
      </c>
      <c r="Q11" s="7">
        <f t="shared" si="4"/>
        <v>14.99675587996756</v>
      </c>
    </row>
    <row r="12" spans="1:17" x14ac:dyDescent="0.3">
      <c r="A12" t="s">
        <v>22</v>
      </c>
      <c r="B12" t="s">
        <v>213</v>
      </c>
      <c r="C12" t="str">
        <f t="shared" si="0"/>
        <v>Traditional</v>
      </c>
      <c r="D12">
        <v>2015</v>
      </c>
      <c r="E12" s="1">
        <v>4457.95</v>
      </c>
      <c r="F12" s="1">
        <v>17172.3</v>
      </c>
      <c r="G12" s="1">
        <v>18471.95</v>
      </c>
      <c r="H12" s="1">
        <v>8103.43</v>
      </c>
      <c r="I12" s="1">
        <v>361.37</v>
      </c>
      <c r="J12" s="3">
        <v>0</v>
      </c>
      <c r="K12" s="3">
        <v>0</v>
      </c>
      <c r="L12" t="s">
        <v>251</v>
      </c>
      <c r="M12" t="s">
        <v>255</v>
      </c>
      <c r="N12" s="8">
        <f t="shared" si="1"/>
        <v>414.35973934207431</v>
      </c>
      <c r="O12" s="7">
        <f t="shared" si="2"/>
        <v>3.8520620464563309</v>
      </c>
      <c r="P12" s="7">
        <f t="shared" si="3"/>
        <v>8.10619230812369E-2</v>
      </c>
      <c r="Q12" s="7">
        <f t="shared" si="4"/>
        <v>1.8177480680581883</v>
      </c>
    </row>
    <row r="13" spans="1:17" x14ac:dyDescent="0.3">
      <c r="A13" t="s">
        <v>23</v>
      </c>
      <c r="B13" t="s">
        <v>213</v>
      </c>
      <c r="C13" t="str">
        <f t="shared" si="0"/>
        <v>Traditional</v>
      </c>
      <c r="D13">
        <v>2016</v>
      </c>
      <c r="E13" s="1">
        <v>23700.26</v>
      </c>
      <c r="F13" s="1">
        <v>1724.63</v>
      </c>
      <c r="G13" s="1">
        <v>9874.01</v>
      </c>
      <c r="H13" s="1">
        <v>-1238.6600000000001</v>
      </c>
      <c r="I13" s="1">
        <v>457.56</v>
      </c>
      <c r="J13" s="3">
        <v>0</v>
      </c>
      <c r="K13" s="3">
        <v>0</v>
      </c>
      <c r="L13" t="s">
        <v>250</v>
      </c>
      <c r="M13" t="s">
        <v>255</v>
      </c>
      <c r="N13" s="8">
        <f t="shared" si="1"/>
        <v>41.662032399644566</v>
      </c>
      <c r="O13" s="7">
        <f t="shared" si="2"/>
        <v>7.2768400009113832E-2</v>
      </c>
      <c r="P13" s="7">
        <f t="shared" si="3"/>
        <v>1.9306117316856442E-2</v>
      </c>
      <c r="Q13" s="7">
        <f t="shared" si="4"/>
        <v>-5.2263561665568233E-2</v>
      </c>
    </row>
    <row r="14" spans="1:17" x14ac:dyDescent="0.3">
      <c r="A14" t="s">
        <v>24</v>
      </c>
      <c r="B14" t="s">
        <v>213</v>
      </c>
      <c r="C14" t="str">
        <f t="shared" si="0"/>
        <v>Traditional</v>
      </c>
      <c r="D14">
        <v>2017</v>
      </c>
      <c r="E14" s="1">
        <v>10866.88</v>
      </c>
      <c r="F14" s="1">
        <v>3970.01</v>
      </c>
      <c r="G14" s="1">
        <v>10924.13</v>
      </c>
      <c r="H14" s="1">
        <v>6029.24</v>
      </c>
      <c r="I14" s="1">
        <v>124.68</v>
      </c>
      <c r="J14" s="3">
        <v>5207</v>
      </c>
      <c r="K14" s="3">
        <v>0</v>
      </c>
      <c r="L14" t="s">
        <v>251</v>
      </c>
      <c r="M14" t="s">
        <v>257</v>
      </c>
      <c r="N14" s="8">
        <f t="shared" si="1"/>
        <v>100.52683014811979</v>
      </c>
      <c r="O14" s="7">
        <f t="shared" si="2"/>
        <v>0.36533117141258581</v>
      </c>
      <c r="P14" s="7">
        <f t="shared" si="3"/>
        <v>1.1473394387349452E-2</v>
      </c>
      <c r="Q14" s="7">
        <f t="shared" si="4"/>
        <v>0.5548271444977767</v>
      </c>
    </row>
    <row r="15" spans="1:17" x14ac:dyDescent="0.3">
      <c r="A15" t="s">
        <v>25</v>
      </c>
      <c r="B15" t="s">
        <v>213</v>
      </c>
      <c r="C15" t="str">
        <f t="shared" si="0"/>
        <v>Traditional</v>
      </c>
      <c r="D15">
        <v>2018</v>
      </c>
      <c r="E15" s="1">
        <v>2068.63</v>
      </c>
      <c r="F15" s="1">
        <v>574.41</v>
      </c>
      <c r="G15" s="1">
        <v>11212.25</v>
      </c>
      <c r="H15" s="1">
        <v>4472.84</v>
      </c>
      <c r="I15" s="1">
        <v>9.2799999999999994</v>
      </c>
      <c r="J15" s="3">
        <v>0</v>
      </c>
      <c r="K15" s="3">
        <v>326</v>
      </c>
      <c r="L15" t="s">
        <v>251</v>
      </c>
      <c r="M15" t="s">
        <v>255</v>
      </c>
      <c r="N15" s="8">
        <f t="shared" si="1"/>
        <v>542.0133131589505</v>
      </c>
      <c r="O15" s="7">
        <f t="shared" si="2"/>
        <v>0.27767652987726171</v>
      </c>
      <c r="P15" s="7">
        <f t="shared" si="3"/>
        <v>4.4860608228634406E-3</v>
      </c>
      <c r="Q15" s="7">
        <f t="shared" si="4"/>
        <v>2.1622233072129862</v>
      </c>
    </row>
    <row r="16" spans="1:17" x14ac:dyDescent="0.3">
      <c r="A16" t="s">
        <v>26</v>
      </c>
      <c r="B16" t="s">
        <v>213</v>
      </c>
      <c r="C16" t="str">
        <f t="shared" si="0"/>
        <v>Traditional</v>
      </c>
      <c r="D16">
        <v>2019</v>
      </c>
      <c r="E16" s="1">
        <v>12392.66</v>
      </c>
      <c r="F16" s="1">
        <v>9798.36</v>
      </c>
      <c r="G16" s="1">
        <v>14550.05</v>
      </c>
      <c r="H16" s="1">
        <v>7706.21</v>
      </c>
      <c r="I16" s="1">
        <v>347.85</v>
      </c>
      <c r="J16" s="3">
        <v>4081</v>
      </c>
      <c r="K16" s="3">
        <v>1717</v>
      </c>
      <c r="L16" t="s">
        <v>250</v>
      </c>
      <c r="M16" t="s">
        <v>255</v>
      </c>
      <c r="N16" s="8">
        <f t="shared" si="1"/>
        <v>117.40861122632266</v>
      </c>
      <c r="O16" s="7">
        <f t="shared" si="2"/>
        <v>0.79065834130848422</v>
      </c>
      <c r="P16" s="7">
        <f t="shared" si="3"/>
        <v>2.8069034412305349E-2</v>
      </c>
      <c r="Q16" s="7">
        <f t="shared" si="4"/>
        <v>0.62183663555685387</v>
      </c>
    </row>
    <row r="17" spans="1:17" x14ac:dyDescent="0.3">
      <c r="A17" t="s">
        <v>27</v>
      </c>
      <c r="B17" t="s">
        <v>213</v>
      </c>
      <c r="C17" t="str">
        <f t="shared" si="0"/>
        <v>Traditional</v>
      </c>
      <c r="D17">
        <v>2020</v>
      </c>
      <c r="E17" s="1">
        <v>10572.01</v>
      </c>
      <c r="F17" s="1">
        <v>15576.29</v>
      </c>
      <c r="G17" s="1">
        <v>1367.17</v>
      </c>
      <c r="H17" s="1">
        <v>5188.01</v>
      </c>
      <c r="I17" s="1">
        <v>389.48</v>
      </c>
      <c r="J17" s="3">
        <v>1093</v>
      </c>
      <c r="K17" s="3">
        <v>1439</v>
      </c>
      <c r="L17" t="s">
        <v>253</v>
      </c>
      <c r="M17" t="s">
        <v>255</v>
      </c>
      <c r="N17" s="8">
        <f t="shared" si="1"/>
        <v>12.931977930403018</v>
      </c>
      <c r="O17" s="7">
        <f t="shared" si="2"/>
        <v>1.4733518034886459</v>
      </c>
      <c r="P17" s="7">
        <f t="shared" si="3"/>
        <v>3.6840676465497102E-2</v>
      </c>
      <c r="Q17" s="7">
        <f t="shared" si="4"/>
        <v>0.49073071251351447</v>
      </c>
    </row>
    <row r="18" spans="1:17" x14ac:dyDescent="0.3">
      <c r="A18" t="s">
        <v>28</v>
      </c>
      <c r="B18" t="s">
        <v>213</v>
      </c>
      <c r="C18" t="str">
        <f t="shared" si="0"/>
        <v>Traditional</v>
      </c>
      <c r="D18">
        <v>2021</v>
      </c>
      <c r="E18" s="1">
        <v>10836.1</v>
      </c>
      <c r="F18" s="1">
        <v>5158.1000000000004</v>
      </c>
      <c r="G18" s="1">
        <v>5221.1899999999996</v>
      </c>
      <c r="H18" s="1">
        <v>8155.92</v>
      </c>
      <c r="I18" s="1">
        <v>268.66000000000003</v>
      </c>
      <c r="J18" s="3">
        <v>0</v>
      </c>
      <c r="K18" s="3">
        <v>2721</v>
      </c>
      <c r="L18" t="s">
        <v>250</v>
      </c>
      <c r="M18" t="s">
        <v>255</v>
      </c>
      <c r="N18" s="8">
        <f t="shared" si="1"/>
        <v>48.183294727807969</v>
      </c>
      <c r="O18" s="7">
        <f t="shared" si="2"/>
        <v>0.47601074187207576</v>
      </c>
      <c r="P18" s="7">
        <f t="shared" si="3"/>
        <v>2.4793052851118023E-2</v>
      </c>
      <c r="Q18" s="7">
        <f t="shared" si="4"/>
        <v>0.75266193556722438</v>
      </c>
    </row>
    <row r="19" spans="1:17" x14ac:dyDescent="0.3">
      <c r="A19" t="s">
        <v>29</v>
      </c>
      <c r="B19" t="s">
        <v>213</v>
      </c>
      <c r="C19" t="str">
        <f t="shared" si="0"/>
        <v>Traditional</v>
      </c>
      <c r="D19">
        <v>2022</v>
      </c>
      <c r="E19" s="1">
        <v>5736.81</v>
      </c>
      <c r="F19" s="1">
        <v>7338.52</v>
      </c>
      <c r="G19" s="1">
        <v>1455.12</v>
      </c>
      <c r="H19" s="1">
        <v>2168.6999999999998</v>
      </c>
      <c r="I19" s="1">
        <v>591.26</v>
      </c>
      <c r="J19" s="3">
        <v>4445</v>
      </c>
      <c r="K19" s="3">
        <v>0</v>
      </c>
      <c r="L19" t="s">
        <v>250</v>
      </c>
      <c r="M19" t="s">
        <v>257</v>
      </c>
      <c r="N19" s="8">
        <f t="shared" si="1"/>
        <v>25.36461901300548</v>
      </c>
      <c r="O19" s="7">
        <f t="shared" si="2"/>
        <v>1.2791987184515436</v>
      </c>
      <c r="P19" s="7">
        <f t="shared" si="3"/>
        <v>0.10306424650633365</v>
      </c>
      <c r="Q19" s="7">
        <f t="shared" si="4"/>
        <v>0.37803239082347151</v>
      </c>
    </row>
    <row r="20" spans="1:17" x14ac:dyDescent="0.3">
      <c r="A20" t="s">
        <v>30</v>
      </c>
      <c r="B20" t="s">
        <v>213</v>
      </c>
      <c r="C20" t="str">
        <f t="shared" si="0"/>
        <v>Traditional</v>
      </c>
      <c r="D20">
        <v>2023</v>
      </c>
      <c r="E20" s="1">
        <v>7769.34</v>
      </c>
      <c r="F20" s="1">
        <v>17443.03</v>
      </c>
      <c r="G20" s="1">
        <v>11709.85</v>
      </c>
      <c r="H20" s="1">
        <v>3964.15</v>
      </c>
      <c r="I20" s="1">
        <v>450.05</v>
      </c>
      <c r="J20" s="3">
        <v>0</v>
      </c>
      <c r="K20" s="3">
        <v>0</v>
      </c>
      <c r="L20" t="s">
        <v>250</v>
      </c>
      <c r="M20" t="s">
        <v>257</v>
      </c>
      <c r="N20" s="8">
        <f t="shared" si="1"/>
        <v>150.71872256845498</v>
      </c>
      <c r="O20" s="7">
        <f t="shared" si="2"/>
        <v>2.2451109103218547</v>
      </c>
      <c r="P20" s="7">
        <f t="shared" si="3"/>
        <v>5.7926413311812842E-2</v>
      </c>
      <c r="Q20" s="7">
        <f t="shared" si="4"/>
        <v>0.51022995518280834</v>
      </c>
    </row>
    <row r="21" spans="1:17" x14ac:dyDescent="0.3">
      <c r="A21" t="s">
        <v>31</v>
      </c>
      <c r="B21" t="s">
        <v>213</v>
      </c>
      <c r="C21" t="str">
        <f t="shared" si="0"/>
        <v>Traditional</v>
      </c>
      <c r="D21">
        <v>2024</v>
      </c>
      <c r="E21" s="1">
        <v>2462.73</v>
      </c>
      <c r="F21" s="1">
        <v>3507.68</v>
      </c>
      <c r="G21" s="1">
        <v>12022.19</v>
      </c>
      <c r="H21" s="1">
        <v>5427.34</v>
      </c>
      <c r="I21" s="1">
        <v>144.94999999999999</v>
      </c>
      <c r="J21" s="3">
        <v>0</v>
      </c>
      <c r="K21" s="3">
        <v>2421</v>
      </c>
      <c r="L21" t="s">
        <v>250</v>
      </c>
      <c r="M21" t="s">
        <v>255</v>
      </c>
      <c r="N21" s="8">
        <f t="shared" si="1"/>
        <v>488.16516629918834</v>
      </c>
      <c r="O21" s="7">
        <f t="shared" si="2"/>
        <v>1.4243055470961088</v>
      </c>
      <c r="P21" s="7">
        <f t="shared" si="3"/>
        <v>5.8857446817150071E-2</v>
      </c>
      <c r="Q21" s="7">
        <f t="shared" si="4"/>
        <v>2.2037901028533375</v>
      </c>
    </row>
    <row r="22" spans="1:17" x14ac:dyDescent="0.3">
      <c r="A22" t="s">
        <v>32</v>
      </c>
      <c r="B22" t="s">
        <v>215</v>
      </c>
      <c r="C22" t="str">
        <f t="shared" si="0"/>
        <v>Traditional</v>
      </c>
      <c r="D22">
        <v>2015</v>
      </c>
      <c r="E22" s="1">
        <v>13308.18</v>
      </c>
      <c r="F22" s="1">
        <v>16837.77</v>
      </c>
      <c r="G22" s="1">
        <v>4323.91</v>
      </c>
      <c r="H22" s="1">
        <v>5878.11</v>
      </c>
      <c r="I22" s="1">
        <v>147.02000000000001</v>
      </c>
      <c r="J22" s="3">
        <v>0</v>
      </c>
      <c r="K22" s="3">
        <v>0</v>
      </c>
      <c r="L22" t="s">
        <v>251</v>
      </c>
      <c r="M22" t="s">
        <v>256</v>
      </c>
      <c r="N22" s="8">
        <f t="shared" si="1"/>
        <v>32.490618551898152</v>
      </c>
      <c r="O22" s="7">
        <f t="shared" si="2"/>
        <v>1.2652195867504046</v>
      </c>
      <c r="P22" s="7">
        <f t="shared" si="3"/>
        <v>1.1047340808435113E-2</v>
      </c>
      <c r="Q22" s="7">
        <f t="shared" si="4"/>
        <v>0.44169150101666793</v>
      </c>
    </row>
    <row r="23" spans="1:17" x14ac:dyDescent="0.3">
      <c r="A23" t="s">
        <v>33</v>
      </c>
      <c r="B23" t="s">
        <v>215</v>
      </c>
      <c r="C23" t="str">
        <f t="shared" si="0"/>
        <v>Traditional</v>
      </c>
      <c r="D23">
        <v>2016</v>
      </c>
      <c r="E23" s="1">
        <v>728.23</v>
      </c>
      <c r="F23" s="1">
        <v>11256.63</v>
      </c>
      <c r="G23" s="1">
        <v>11390.97</v>
      </c>
      <c r="H23" s="1">
        <v>-900.21</v>
      </c>
      <c r="I23" s="1">
        <v>324.89</v>
      </c>
      <c r="J23" s="3">
        <v>8388</v>
      </c>
      <c r="K23" s="3">
        <v>0</v>
      </c>
      <c r="L23" t="s">
        <v>250</v>
      </c>
      <c r="M23" t="s">
        <v>255</v>
      </c>
      <c r="N23" s="8">
        <f t="shared" si="1"/>
        <v>1564.1994974115319</v>
      </c>
      <c r="O23" s="7">
        <f t="shared" si="2"/>
        <v>15.457520288919708</v>
      </c>
      <c r="P23" s="7">
        <f t="shared" si="3"/>
        <v>0.446136522801862</v>
      </c>
      <c r="Q23" s="7">
        <f t="shared" si="4"/>
        <v>-1.2361616522252585</v>
      </c>
    </row>
    <row r="24" spans="1:17" x14ac:dyDescent="0.3">
      <c r="A24" t="s">
        <v>34</v>
      </c>
      <c r="B24" t="s">
        <v>215</v>
      </c>
      <c r="C24" t="str">
        <f t="shared" si="0"/>
        <v>Traditional</v>
      </c>
      <c r="D24">
        <v>2017</v>
      </c>
      <c r="E24" s="1">
        <v>20926.75</v>
      </c>
      <c r="F24" s="1">
        <v>12723.01</v>
      </c>
      <c r="G24" s="1">
        <v>12350.05</v>
      </c>
      <c r="H24" s="1">
        <v>8859.56</v>
      </c>
      <c r="I24" s="1">
        <v>394.12</v>
      </c>
      <c r="J24" s="3">
        <v>228</v>
      </c>
      <c r="K24" s="3">
        <v>2767</v>
      </c>
      <c r="L24" t="s">
        <v>253</v>
      </c>
      <c r="M24" t="s">
        <v>256</v>
      </c>
      <c r="N24" s="8">
        <f t="shared" si="1"/>
        <v>59.015613986882812</v>
      </c>
      <c r="O24" s="7">
        <f t="shared" si="2"/>
        <v>0.60797830527912844</v>
      </c>
      <c r="P24" s="7">
        <f t="shared" si="3"/>
        <v>1.8833311431540972E-2</v>
      </c>
      <c r="Q24" s="7">
        <f t="shared" si="4"/>
        <v>0.42336053137730412</v>
      </c>
    </row>
    <row r="25" spans="1:17" x14ac:dyDescent="0.3">
      <c r="A25" t="s">
        <v>35</v>
      </c>
      <c r="B25" t="s">
        <v>215</v>
      </c>
      <c r="C25" t="str">
        <f t="shared" si="0"/>
        <v>Traditional</v>
      </c>
      <c r="D25">
        <v>2018</v>
      </c>
      <c r="E25" s="1">
        <v>14053.98</v>
      </c>
      <c r="F25" s="1">
        <v>5047.8</v>
      </c>
      <c r="G25" s="1">
        <v>12215.15</v>
      </c>
      <c r="H25" s="1">
        <v>5893.73</v>
      </c>
      <c r="I25" s="1">
        <v>126.14</v>
      </c>
      <c r="J25" s="3">
        <v>4425</v>
      </c>
      <c r="K25" s="3">
        <v>1078</v>
      </c>
      <c r="L25" t="s">
        <v>250</v>
      </c>
      <c r="M25" t="s">
        <v>257</v>
      </c>
      <c r="N25" s="8">
        <f t="shared" si="1"/>
        <v>86.915948364804834</v>
      </c>
      <c r="O25" s="7">
        <f t="shared" si="2"/>
        <v>0.35917227717699901</v>
      </c>
      <c r="P25" s="7">
        <f t="shared" si="3"/>
        <v>8.9753934472654728E-3</v>
      </c>
      <c r="Q25" s="7">
        <f t="shared" si="4"/>
        <v>0.41936376741677445</v>
      </c>
    </row>
    <row r="26" spans="1:17" x14ac:dyDescent="0.3">
      <c r="A26" t="s">
        <v>36</v>
      </c>
      <c r="B26" t="s">
        <v>215</v>
      </c>
      <c r="C26" t="str">
        <f t="shared" si="0"/>
        <v>Traditional</v>
      </c>
      <c r="D26">
        <v>2019</v>
      </c>
      <c r="E26" s="1">
        <v>586.87</v>
      </c>
      <c r="F26" s="1">
        <v>13925.92</v>
      </c>
      <c r="G26" s="1">
        <v>12851.13</v>
      </c>
      <c r="H26" s="1">
        <v>881.51</v>
      </c>
      <c r="I26" s="1">
        <v>446.03</v>
      </c>
      <c r="J26" s="3">
        <v>0</v>
      </c>
      <c r="K26" s="3">
        <v>508</v>
      </c>
      <c r="L26" t="s">
        <v>253</v>
      </c>
      <c r="M26" t="s">
        <v>257</v>
      </c>
      <c r="N26" s="8">
        <f t="shared" si="1"/>
        <v>2189.7745667694717</v>
      </c>
      <c r="O26" s="7">
        <f t="shared" si="2"/>
        <v>23.729139332390478</v>
      </c>
      <c r="P26" s="7">
        <f t="shared" si="3"/>
        <v>0.76001499480293755</v>
      </c>
      <c r="Q26" s="7">
        <f t="shared" si="4"/>
        <v>1.502053265629526</v>
      </c>
    </row>
    <row r="27" spans="1:17" x14ac:dyDescent="0.3">
      <c r="A27" t="s">
        <v>37</v>
      </c>
      <c r="B27" t="s">
        <v>215</v>
      </c>
      <c r="C27" t="str">
        <f t="shared" si="0"/>
        <v>Traditional</v>
      </c>
      <c r="D27">
        <v>2020</v>
      </c>
      <c r="E27" s="1">
        <v>14036.86</v>
      </c>
      <c r="F27" s="1">
        <v>7850.2</v>
      </c>
      <c r="G27" s="1">
        <v>1124.03</v>
      </c>
      <c r="H27" s="1">
        <v>2011.17</v>
      </c>
      <c r="I27" s="1">
        <v>560.19000000000005</v>
      </c>
      <c r="J27" s="3">
        <v>753</v>
      </c>
      <c r="K27" s="3">
        <v>910</v>
      </c>
      <c r="L27" t="s">
        <v>250</v>
      </c>
      <c r="M27" t="s">
        <v>256</v>
      </c>
      <c r="N27" s="8">
        <f t="shared" si="1"/>
        <v>8.007702577357044</v>
      </c>
      <c r="O27" s="7">
        <f t="shared" si="2"/>
        <v>0.55925612993219276</v>
      </c>
      <c r="P27" s="7">
        <f t="shared" si="3"/>
        <v>3.990849805440818E-2</v>
      </c>
      <c r="Q27" s="7">
        <f t="shared" si="4"/>
        <v>0.14327777009958068</v>
      </c>
    </row>
    <row r="28" spans="1:17" x14ac:dyDescent="0.3">
      <c r="A28" t="s">
        <v>38</v>
      </c>
      <c r="B28" t="s">
        <v>215</v>
      </c>
      <c r="C28" t="str">
        <f t="shared" si="0"/>
        <v>Traditional</v>
      </c>
      <c r="D28">
        <v>2021</v>
      </c>
      <c r="E28" s="1">
        <v>10456.25</v>
      </c>
      <c r="F28" s="1">
        <v>11247.77</v>
      </c>
      <c r="G28" s="1">
        <v>3344.7</v>
      </c>
      <c r="H28" s="1">
        <v>8228.69</v>
      </c>
      <c r="I28" s="1">
        <v>519.44000000000005</v>
      </c>
      <c r="J28" s="3">
        <v>3000</v>
      </c>
      <c r="K28" s="3">
        <v>151</v>
      </c>
      <c r="L28" t="s">
        <v>251</v>
      </c>
      <c r="M28" t="s">
        <v>256</v>
      </c>
      <c r="N28" s="8">
        <f t="shared" si="1"/>
        <v>31.987567244471009</v>
      </c>
      <c r="O28" s="7">
        <f t="shared" si="2"/>
        <v>1.0756982665869697</v>
      </c>
      <c r="P28" s="7">
        <f t="shared" si="3"/>
        <v>4.9677465630603712E-2</v>
      </c>
      <c r="Q28" s="7">
        <f t="shared" si="4"/>
        <v>0.78696377764494929</v>
      </c>
    </row>
    <row r="29" spans="1:17" x14ac:dyDescent="0.3">
      <c r="A29" t="s">
        <v>39</v>
      </c>
      <c r="B29" t="s">
        <v>215</v>
      </c>
      <c r="C29" t="str">
        <f t="shared" si="0"/>
        <v>Traditional</v>
      </c>
      <c r="D29">
        <v>2022</v>
      </c>
      <c r="E29" s="1">
        <v>20363.36</v>
      </c>
      <c r="F29" s="1">
        <v>4949.1400000000003</v>
      </c>
      <c r="G29" s="1">
        <v>15811.28</v>
      </c>
      <c r="H29" s="1">
        <v>-810.95</v>
      </c>
      <c r="I29" s="1">
        <v>523.94000000000005</v>
      </c>
      <c r="J29" s="3">
        <v>0</v>
      </c>
      <c r="K29" s="3">
        <v>0</v>
      </c>
      <c r="L29" t="s">
        <v>251</v>
      </c>
      <c r="M29" t="s">
        <v>256</v>
      </c>
      <c r="N29" s="8">
        <f t="shared" si="1"/>
        <v>77.645732334938828</v>
      </c>
      <c r="O29" s="7">
        <f t="shared" si="2"/>
        <v>0.24304142341931784</v>
      </c>
      <c r="P29" s="7">
        <f t="shared" si="3"/>
        <v>2.5729545615261924E-2</v>
      </c>
      <c r="Q29" s="7">
        <f t="shared" si="4"/>
        <v>-3.9823977968272431E-2</v>
      </c>
    </row>
    <row r="30" spans="1:17" x14ac:dyDescent="0.3">
      <c r="A30" t="s">
        <v>40</v>
      </c>
      <c r="B30" t="s">
        <v>215</v>
      </c>
      <c r="C30" t="str">
        <f t="shared" si="0"/>
        <v>Traditional</v>
      </c>
      <c r="D30">
        <v>2023</v>
      </c>
      <c r="E30" s="1">
        <v>5961.63</v>
      </c>
      <c r="F30" s="1">
        <v>11948.59</v>
      </c>
      <c r="G30" s="1">
        <v>8149.78</v>
      </c>
      <c r="H30" s="1">
        <v>1064.6300000000001</v>
      </c>
      <c r="I30" s="1">
        <v>46.31</v>
      </c>
      <c r="J30" s="3">
        <v>4673</v>
      </c>
      <c r="K30" s="3">
        <v>0</v>
      </c>
      <c r="L30" t="s">
        <v>250</v>
      </c>
      <c r="M30" t="s">
        <v>256</v>
      </c>
      <c r="N30" s="8">
        <f t="shared" si="1"/>
        <v>136.70388803062249</v>
      </c>
      <c r="O30" s="7">
        <f t="shared" si="2"/>
        <v>2.0042488379855845</v>
      </c>
      <c r="P30" s="7">
        <f t="shared" si="3"/>
        <v>7.7680097557211707E-3</v>
      </c>
      <c r="Q30" s="7">
        <f t="shared" si="4"/>
        <v>0.1785803547016504</v>
      </c>
    </row>
    <row r="31" spans="1:17" x14ac:dyDescent="0.3">
      <c r="A31" t="s">
        <v>41</v>
      </c>
      <c r="B31" t="s">
        <v>215</v>
      </c>
      <c r="C31" t="str">
        <f t="shared" si="0"/>
        <v>Traditional</v>
      </c>
      <c r="D31">
        <v>2024</v>
      </c>
      <c r="E31" s="1">
        <v>24274.81</v>
      </c>
      <c r="F31" s="1">
        <v>3378.51</v>
      </c>
      <c r="G31" s="1">
        <v>19261.93</v>
      </c>
      <c r="H31" s="1">
        <v>920.13</v>
      </c>
      <c r="I31" s="1">
        <v>69.5</v>
      </c>
      <c r="J31" s="3">
        <v>7219</v>
      </c>
      <c r="K31" s="3">
        <v>0</v>
      </c>
      <c r="L31" t="s">
        <v>250</v>
      </c>
      <c r="M31" t="s">
        <v>257</v>
      </c>
      <c r="N31" s="8">
        <f t="shared" si="1"/>
        <v>79.349457318100519</v>
      </c>
      <c r="O31" s="7">
        <f t="shared" si="2"/>
        <v>0.13917760839322738</v>
      </c>
      <c r="P31" s="7">
        <f t="shared" si="3"/>
        <v>2.8630502154290806E-3</v>
      </c>
      <c r="Q31" s="7">
        <f t="shared" si="4"/>
        <v>3.7904725103924598E-2</v>
      </c>
    </row>
    <row r="32" spans="1:17" x14ac:dyDescent="0.3">
      <c r="A32" t="s">
        <v>42</v>
      </c>
      <c r="B32" t="s">
        <v>217</v>
      </c>
      <c r="C32" t="str">
        <f t="shared" si="0"/>
        <v>Traditional</v>
      </c>
      <c r="D32">
        <v>2015</v>
      </c>
      <c r="E32" s="1">
        <v>5156.93</v>
      </c>
      <c r="F32" s="1">
        <v>990.08</v>
      </c>
      <c r="G32" s="1">
        <v>8890.33</v>
      </c>
      <c r="H32" s="1">
        <v>3719.12</v>
      </c>
      <c r="I32" s="1">
        <v>484.87</v>
      </c>
      <c r="J32" s="3">
        <v>3328</v>
      </c>
      <c r="K32" s="3">
        <v>1816</v>
      </c>
      <c r="L32" t="s">
        <v>251</v>
      </c>
      <c r="M32" t="s">
        <v>257</v>
      </c>
      <c r="N32" s="8">
        <f t="shared" si="1"/>
        <v>172.39578586484595</v>
      </c>
      <c r="O32" s="7">
        <f t="shared" si="2"/>
        <v>0.19199019571721934</v>
      </c>
      <c r="P32" s="7">
        <f t="shared" si="3"/>
        <v>9.4022994300872798E-2</v>
      </c>
      <c r="Q32" s="7">
        <f t="shared" si="4"/>
        <v>0.72118876928715336</v>
      </c>
    </row>
    <row r="33" spans="1:17" x14ac:dyDescent="0.3">
      <c r="A33" t="s">
        <v>43</v>
      </c>
      <c r="B33" t="s">
        <v>217</v>
      </c>
      <c r="C33" t="str">
        <f t="shared" si="0"/>
        <v>Traditional</v>
      </c>
      <c r="D33">
        <v>2016</v>
      </c>
      <c r="E33" s="1">
        <v>18133.98</v>
      </c>
      <c r="F33" s="1">
        <v>5545.74</v>
      </c>
      <c r="G33" s="1">
        <v>6392.91</v>
      </c>
      <c r="H33" s="1">
        <v>2492.3200000000002</v>
      </c>
      <c r="I33" s="1">
        <v>244.43</v>
      </c>
      <c r="J33" s="3">
        <v>0</v>
      </c>
      <c r="K33" s="3">
        <v>0</v>
      </c>
      <c r="L33" t="s">
        <v>251</v>
      </c>
      <c r="M33" t="s">
        <v>257</v>
      </c>
      <c r="N33" s="8">
        <f t="shared" si="1"/>
        <v>35.253761171017061</v>
      </c>
      <c r="O33" s="7">
        <f t="shared" si="2"/>
        <v>0.30582034390685331</v>
      </c>
      <c r="P33" s="7">
        <f t="shared" si="3"/>
        <v>1.3479114899211315E-2</v>
      </c>
      <c r="Q33" s="7">
        <f t="shared" si="4"/>
        <v>0.13743921632206499</v>
      </c>
    </row>
    <row r="34" spans="1:17" x14ac:dyDescent="0.3">
      <c r="A34" t="s">
        <v>44</v>
      </c>
      <c r="B34" t="s">
        <v>217</v>
      </c>
      <c r="C34" t="str">
        <f t="shared" ref="C34:C65" si="5">IF(OR(B34="Atom Bank",B34="Monzo Bank",B34="Starling bank",B34="Revolut UK"),"Digital","Traditional")</f>
        <v>Traditional</v>
      </c>
      <c r="D34">
        <v>2017</v>
      </c>
      <c r="E34" s="1">
        <v>14443.08</v>
      </c>
      <c r="F34" s="1">
        <v>7428.14</v>
      </c>
      <c r="G34" s="1">
        <v>16724.39</v>
      </c>
      <c r="H34" s="1">
        <v>1342.62</v>
      </c>
      <c r="I34" s="1">
        <v>130.06</v>
      </c>
      <c r="J34" s="3">
        <v>5379</v>
      </c>
      <c r="K34" s="3">
        <v>0</v>
      </c>
      <c r="L34" t="s">
        <v>253</v>
      </c>
      <c r="M34" t="s">
        <v>257</v>
      </c>
      <c r="N34" s="8">
        <f t="shared" si="1"/>
        <v>115.79517665207145</v>
      </c>
      <c r="O34" s="7">
        <f t="shared" si="2"/>
        <v>0.51430442814136601</v>
      </c>
      <c r="P34" s="7">
        <f t="shared" si="3"/>
        <v>9.005004472730194E-3</v>
      </c>
      <c r="Q34" s="7">
        <f t="shared" ref="Q34:Q65" si="6">H34/E34</f>
        <v>9.2959396472220596E-2</v>
      </c>
    </row>
    <row r="35" spans="1:17" x14ac:dyDescent="0.3">
      <c r="A35" t="s">
        <v>45</v>
      </c>
      <c r="B35" t="s">
        <v>217</v>
      </c>
      <c r="C35" t="str">
        <f t="shared" si="5"/>
        <v>Traditional</v>
      </c>
      <c r="D35">
        <v>2018</v>
      </c>
      <c r="E35" s="1">
        <v>20002.61</v>
      </c>
      <c r="F35" s="1">
        <v>3220.51</v>
      </c>
      <c r="G35" s="1">
        <v>1970.47</v>
      </c>
      <c r="H35" s="1">
        <v>3669.97</v>
      </c>
      <c r="I35" s="1">
        <v>381.6</v>
      </c>
      <c r="J35" s="3">
        <v>0</v>
      </c>
      <c r="K35" s="3">
        <v>0</v>
      </c>
      <c r="L35" t="s">
        <v>253</v>
      </c>
      <c r="M35" t="s">
        <v>255</v>
      </c>
      <c r="N35" s="8">
        <f t="shared" si="1"/>
        <v>9.8510644360910895</v>
      </c>
      <c r="O35" s="7">
        <f t="shared" si="2"/>
        <v>0.16100448891419669</v>
      </c>
      <c r="P35" s="7">
        <f t="shared" si="3"/>
        <v>1.9077510384894771E-2</v>
      </c>
      <c r="Q35" s="7">
        <f t="shared" si="6"/>
        <v>0.18347455657036754</v>
      </c>
    </row>
    <row r="36" spans="1:17" x14ac:dyDescent="0.3">
      <c r="A36" t="s">
        <v>46</v>
      </c>
      <c r="B36" t="s">
        <v>217</v>
      </c>
      <c r="C36" t="str">
        <f t="shared" si="5"/>
        <v>Traditional</v>
      </c>
      <c r="D36">
        <v>2019</v>
      </c>
      <c r="E36" s="1">
        <v>24606.43</v>
      </c>
      <c r="F36" s="1">
        <v>11080.68</v>
      </c>
      <c r="G36" s="1">
        <v>15439.24</v>
      </c>
      <c r="H36" s="1">
        <v>3009.58</v>
      </c>
      <c r="I36" s="1">
        <v>532.25</v>
      </c>
      <c r="J36" s="3">
        <v>3285</v>
      </c>
      <c r="K36" s="3">
        <v>0</v>
      </c>
      <c r="L36" t="s">
        <v>253</v>
      </c>
      <c r="M36" t="s">
        <v>255</v>
      </c>
      <c r="N36" s="8">
        <f t="shared" si="1"/>
        <v>62.744737859169334</v>
      </c>
      <c r="O36" s="7">
        <f t="shared" si="2"/>
        <v>0.45031644167804918</v>
      </c>
      <c r="P36" s="7">
        <f t="shared" si="3"/>
        <v>2.1630525029433363E-2</v>
      </c>
      <c r="Q36" s="7">
        <f t="shared" si="6"/>
        <v>0.12230868110489819</v>
      </c>
    </row>
    <row r="37" spans="1:17" x14ac:dyDescent="0.3">
      <c r="A37" t="s">
        <v>47</v>
      </c>
      <c r="B37" t="s">
        <v>217</v>
      </c>
      <c r="C37" t="str">
        <f t="shared" si="5"/>
        <v>Traditional</v>
      </c>
      <c r="D37">
        <v>2020</v>
      </c>
      <c r="E37" s="1">
        <v>18898.63</v>
      </c>
      <c r="F37" s="1">
        <v>13906.82</v>
      </c>
      <c r="G37" s="1">
        <v>2399.77</v>
      </c>
      <c r="H37" s="1">
        <v>2676.61</v>
      </c>
      <c r="I37" s="1">
        <v>109.65</v>
      </c>
      <c r="J37" s="3">
        <v>8586</v>
      </c>
      <c r="K37" s="3">
        <v>255</v>
      </c>
      <c r="L37" t="s">
        <v>250</v>
      </c>
      <c r="M37" t="s">
        <v>256</v>
      </c>
      <c r="N37" s="8">
        <f t="shared" si="1"/>
        <v>12.698116212656686</v>
      </c>
      <c r="O37" s="7">
        <f t="shared" si="2"/>
        <v>0.73586392241130705</v>
      </c>
      <c r="P37" s="7">
        <f t="shared" si="3"/>
        <v>5.802007870411771E-3</v>
      </c>
      <c r="Q37" s="7">
        <f t="shared" si="6"/>
        <v>0.14162984300978432</v>
      </c>
    </row>
    <row r="38" spans="1:17" x14ac:dyDescent="0.3">
      <c r="A38" t="s">
        <v>48</v>
      </c>
      <c r="B38" t="s">
        <v>217</v>
      </c>
      <c r="C38" t="str">
        <f t="shared" si="5"/>
        <v>Traditional</v>
      </c>
      <c r="D38">
        <v>2021</v>
      </c>
      <c r="E38" s="1">
        <v>13512.73</v>
      </c>
      <c r="F38" s="1">
        <v>10148.870000000001</v>
      </c>
      <c r="G38" s="1">
        <v>6550.77</v>
      </c>
      <c r="H38" s="1">
        <v>6307.75</v>
      </c>
      <c r="I38" s="1">
        <v>268.33</v>
      </c>
      <c r="J38" s="3">
        <v>8370</v>
      </c>
      <c r="K38" s="3">
        <v>0</v>
      </c>
      <c r="L38" t="s">
        <v>253</v>
      </c>
      <c r="M38" t="s">
        <v>257</v>
      </c>
      <c r="N38" s="8">
        <f t="shared" si="1"/>
        <v>48.478508783939297</v>
      </c>
      <c r="O38" s="7">
        <f t="shared" si="2"/>
        <v>0.7510599264545359</v>
      </c>
      <c r="P38" s="7">
        <f t="shared" si="3"/>
        <v>1.9857571341986409E-2</v>
      </c>
      <c r="Q38" s="7">
        <f t="shared" si="6"/>
        <v>0.46680056509676432</v>
      </c>
    </row>
    <row r="39" spans="1:17" x14ac:dyDescent="0.3">
      <c r="A39" t="s">
        <v>49</v>
      </c>
      <c r="B39" t="s">
        <v>217</v>
      </c>
      <c r="C39" t="str">
        <f t="shared" si="5"/>
        <v>Traditional</v>
      </c>
      <c r="D39">
        <v>2022</v>
      </c>
      <c r="E39" s="1">
        <v>18918.53</v>
      </c>
      <c r="F39" s="1">
        <v>15149.56</v>
      </c>
      <c r="G39" s="1">
        <v>5763.03</v>
      </c>
      <c r="H39" s="1">
        <v>6554.42</v>
      </c>
      <c r="I39" s="1">
        <v>293.33999999999997</v>
      </c>
      <c r="J39" s="3">
        <v>4019</v>
      </c>
      <c r="K39" s="3">
        <v>1851</v>
      </c>
      <c r="L39" t="s">
        <v>251</v>
      </c>
      <c r="M39" t="s">
        <v>255</v>
      </c>
      <c r="N39" s="8">
        <f t="shared" si="1"/>
        <v>30.462356219008559</v>
      </c>
      <c r="O39" s="7">
        <f t="shared" si="2"/>
        <v>0.80077891886948938</v>
      </c>
      <c r="P39" s="7">
        <f t="shared" si="3"/>
        <v>1.5505433033116208E-2</v>
      </c>
      <c r="Q39" s="7">
        <f t="shared" si="6"/>
        <v>0.34645503641139141</v>
      </c>
    </row>
    <row r="40" spans="1:17" x14ac:dyDescent="0.3">
      <c r="A40" t="s">
        <v>50</v>
      </c>
      <c r="B40" t="s">
        <v>217</v>
      </c>
      <c r="C40" t="str">
        <f t="shared" si="5"/>
        <v>Traditional</v>
      </c>
      <c r="D40">
        <v>2023</v>
      </c>
      <c r="E40" s="1">
        <v>13733.73</v>
      </c>
      <c r="F40" s="1">
        <v>2663.06</v>
      </c>
      <c r="G40" s="1">
        <v>4855.8500000000004</v>
      </c>
      <c r="H40" s="1">
        <v>5633.45</v>
      </c>
      <c r="I40" s="1">
        <v>425.32</v>
      </c>
      <c r="J40" s="3">
        <v>1152</v>
      </c>
      <c r="K40" s="3">
        <v>0</v>
      </c>
      <c r="L40" t="s">
        <v>250</v>
      </c>
      <c r="M40" t="s">
        <v>256</v>
      </c>
      <c r="N40" s="8">
        <f t="shared" si="1"/>
        <v>35.357109831050998</v>
      </c>
      <c r="O40" s="7">
        <f t="shared" si="2"/>
        <v>0.19390653522386125</v>
      </c>
      <c r="P40" s="7">
        <f t="shared" si="3"/>
        <v>3.0969008419417011E-2</v>
      </c>
      <c r="Q40" s="7">
        <f t="shared" si="6"/>
        <v>0.41019082215829206</v>
      </c>
    </row>
    <row r="41" spans="1:17" x14ac:dyDescent="0.3">
      <c r="A41" t="s">
        <v>51</v>
      </c>
      <c r="B41" t="s">
        <v>217</v>
      </c>
      <c r="C41" t="str">
        <f t="shared" si="5"/>
        <v>Traditional</v>
      </c>
      <c r="D41">
        <v>2024</v>
      </c>
      <c r="E41" s="1">
        <v>10793.52</v>
      </c>
      <c r="F41" s="1">
        <v>16306.12</v>
      </c>
      <c r="G41" s="1">
        <v>11806.36</v>
      </c>
      <c r="H41" s="1">
        <v>5650.75</v>
      </c>
      <c r="I41" s="1">
        <v>514.76</v>
      </c>
      <c r="J41" s="3">
        <v>6332</v>
      </c>
      <c r="K41" s="3">
        <v>0</v>
      </c>
      <c r="L41" t="s">
        <v>251</v>
      </c>
      <c r="M41" t="s">
        <v>256</v>
      </c>
      <c r="N41" s="8">
        <f t="shared" si="1"/>
        <v>109.38377841519727</v>
      </c>
      <c r="O41" s="7">
        <f t="shared" si="2"/>
        <v>1.510732365345133</v>
      </c>
      <c r="P41" s="7">
        <f t="shared" si="3"/>
        <v>4.7691577909708786E-2</v>
      </c>
      <c r="Q41" s="7">
        <f t="shared" si="6"/>
        <v>0.52353171161956435</v>
      </c>
    </row>
    <row r="42" spans="1:17" x14ac:dyDescent="0.3">
      <c r="A42" t="s">
        <v>52</v>
      </c>
      <c r="B42" t="s">
        <v>218</v>
      </c>
      <c r="C42" t="str">
        <f t="shared" si="5"/>
        <v>Traditional</v>
      </c>
      <c r="D42">
        <v>2015</v>
      </c>
      <c r="E42" s="1">
        <v>10766.02</v>
      </c>
      <c r="F42" s="1">
        <v>13505.78</v>
      </c>
      <c r="G42" s="1">
        <v>11058.81</v>
      </c>
      <c r="H42" s="1">
        <v>4635.78</v>
      </c>
      <c r="I42" s="1">
        <v>136.22</v>
      </c>
      <c r="J42" s="3">
        <v>3695</v>
      </c>
      <c r="K42" s="3">
        <v>0</v>
      </c>
      <c r="L42" t="s">
        <v>250</v>
      </c>
      <c r="M42" t="s">
        <v>256</v>
      </c>
      <c r="N42" s="8">
        <f t="shared" si="1"/>
        <v>102.71957510760707</v>
      </c>
      <c r="O42" s="7">
        <f t="shared" si="2"/>
        <v>1.2544821577518896</v>
      </c>
      <c r="P42" s="7">
        <f t="shared" si="3"/>
        <v>1.2652772333694344E-2</v>
      </c>
      <c r="Q42" s="7">
        <f t="shared" si="6"/>
        <v>0.43059366413957983</v>
      </c>
    </row>
    <row r="43" spans="1:17" x14ac:dyDescent="0.3">
      <c r="A43" t="s">
        <v>53</v>
      </c>
      <c r="B43" t="s">
        <v>218</v>
      </c>
      <c r="C43" t="str">
        <f t="shared" si="5"/>
        <v>Traditional</v>
      </c>
      <c r="D43">
        <v>2016</v>
      </c>
      <c r="E43" s="1">
        <v>10405.76</v>
      </c>
      <c r="F43" s="1">
        <v>3137.8</v>
      </c>
      <c r="G43" s="1">
        <v>9507.59</v>
      </c>
      <c r="H43" s="1">
        <v>-596.09</v>
      </c>
      <c r="I43" s="1">
        <v>375.24</v>
      </c>
      <c r="J43" s="3">
        <v>541</v>
      </c>
      <c r="K43" s="3">
        <v>2474</v>
      </c>
      <c r="L43" t="s">
        <v>250</v>
      </c>
      <c r="M43" t="s">
        <v>257</v>
      </c>
      <c r="N43" s="8">
        <f t="shared" si="1"/>
        <v>91.368530506181187</v>
      </c>
      <c r="O43" s="7">
        <f t="shared" si="2"/>
        <v>0.30154452918383667</v>
      </c>
      <c r="P43" s="7">
        <f t="shared" si="3"/>
        <v>3.6060797096992434E-2</v>
      </c>
      <c r="Q43" s="7">
        <f t="shared" si="6"/>
        <v>-5.728461928777908E-2</v>
      </c>
    </row>
    <row r="44" spans="1:17" x14ac:dyDescent="0.3">
      <c r="A44" t="s">
        <v>54</v>
      </c>
      <c r="B44" t="s">
        <v>218</v>
      </c>
      <c r="C44" t="str">
        <f t="shared" si="5"/>
        <v>Traditional</v>
      </c>
      <c r="D44">
        <v>2017</v>
      </c>
      <c r="E44" s="1">
        <v>4952.3599999999997</v>
      </c>
      <c r="F44" s="1">
        <v>4830.78</v>
      </c>
      <c r="G44" s="1">
        <v>6748.85</v>
      </c>
      <c r="H44" s="1">
        <v>3001.69</v>
      </c>
      <c r="I44" s="1">
        <v>205.81</v>
      </c>
      <c r="J44" s="3">
        <v>6311</v>
      </c>
      <c r="K44" s="3">
        <v>0</v>
      </c>
      <c r="L44" t="s">
        <v>250</v>
      </c>
      <c r="M44" t="s">
        <v>256</v>
      </c>
      <c r="N44" s="8">
        <f t="shared" si="1"/>
        <v>136.27543231913674</v>
      </c>
      <c r="O44" s="7">
        <f t="shared" si="2"/>
        <v>0.97545008844268188</v>
      </c>
      <c r="P44" s="7">
        <f t="shared" si="3"/>
        <v>4.1557964283695049E-2</v>
      </c>
      <c r="Q44" s="7">
        <f t="shared" si="6"/>
        <v>0.60611304509365238</v>
      </c>
    </row>
    <row r="45" spans="1:17" x14ac:dyDescent="0.3">
      <c r="A45" t="s">
        <v>55</v>
      </c>
      <c r="B45" t="s">
        <v>218</v>
      </c>
      <c r="C45" t="str">
        <f t="shared" si="5"/>
        <v>Traditional</v>
      </c>
      <c r="D45">
        <v>2018</v>
      </c>
      <c r="E45" s="1">
        <v>24997.74</v>
      </c>
      <c r="F45" s="1">
        <v>6429.29</v>
      </c>
      <c r="G45" s="1">
        <v>13107.84</v>
      </c>
      <c r="H45" s="1">
        <v>6593.56</v>
      </c>
      <c r="I45" s="1">
        <v>392.79</v>
      </c>
      <c r="J45" s="3">
        <v>0</v>
      </c>
      <c r="K45" s="3">
        <v>866</v>
      </c>
      <c r="L45" t="s">
        <v>250</v>
      </c>
      <c r="M45" t="s">
        <v>255</v>
      </c>
      <c r="N45" s="8">
        <f t="shared" si="1"/>
        <v>52.436100223460201</v>
      </c>
      <c r="O45" s="7">
        <f t="shared" si="2"/>
        <v>0.25719485041447743</v>
      </c>
      <c r="P45" s="7">
        <f t="shared" si="3"/>
        <v>1.5713020457049316E-2</v>
      </c>
      <c r="Q45" s="7">
        <f t="shared" si="6"/>
        <v>0.26376624446849994</v>
      </c>
    </row>
    <row r="46" spans="1:17" x14ac:dyDescent="0.3">
      <c r="A46" t="s">
        <v>56</v>
      </c>
      <c r="B46" t="s">
        <v>218</v>
      </c>
      <c r="C46" t="str">
        <f t="shared" si="5"/>
        <v>Traditional</v>
      </c>
      <c r="D46">
        <v>2019</v>
      </c>
      <c r="E46" s="1">
        <v>3302.54</v>
      </c>
      <c r="F46" s="1">
        <v>17070.07</v>
      </c>
      <c r="G46" s="1">
        <v>9461.17</v>
      </c>
      <c r="H46" s="1">
        <v>818.68</v>
      </c>
      <c r="I46" s="1">
        <v>224.49</v>
      </c>
      <c r="J46" s="3">
        <v>0</v>
      </c>
      <c r="K46" s="3">
        <v>1324</v>
      </c>
      <c r="L46" t="s">
        <v>250</v>
      </c>
      <c r="M46" t="s">
        <v>255</v>
      </c>
      <c r="N46" s="8">
        <f t="shared" si="1"/>
        <v>286.48161717950427</v>
      </c>
      <c r="O46" s="7">
        <f t="shared" si="2"/>
        <v>5.1687700981668652</v>
      </c>
      <c r="P46" s="7">
        <f t="shared" si="3"/>
        <v>6.7974952612231798E-2</v>
      </c>
      <c r="Q46" s="7">
        <f t="shared" si="6"/>
        <v>0.24789404518946023</v>
      </c>
    </row>
    <row r="47" spans="1:17" x14ac:dyDescent="0.3">
      <c r="A47" t="s">
        <v>57</v>
      </c>
      <c r="B47" t="s">
        <v>218</v>
      </c>
      <c r="C47" t="str">
        <f t="shared" si="5"/>
        <v>Traditional</v>
      </c>
      <c r="D47">
        <v>2020</v>
      </c>
      <c r="E47" s="1">
        <v>22746.639999999999</v>
      </c>
      <c r="F47" s="1">
        <v>6880.46</v>
      </c>
      <c r="G47" s="1">
        <v>18846.97</v>
      </c>
      <c r="H47" s="1">
        <v>181.63</v>
      </c>
      <c r="I47" s="1">
        <v>357.3</v>
      </c>
      <c r="J47" s="3">
        <v>0</v>
      </c>
      <c r="K47" s="3">
        <v>0</v>
      </c>
      <c r="L47" t="s">
        <v>250</v>
      </c>
      <c r="M47" t="s">
        <v>255</v>
      </c>
      <c r="N47" s="8">
        <f t="shared" si="1"/>
        <v>82.856061378735504</v>
      </c>
      <c r="O47" s="7">
        <f t="shared" si="2"/>
        <v>0.30248247653279781</v>
      </c>
      <c r="P47" s="7">
        <f t="shared" si="3"/>
        <v>1.5707814428856305E-2</v>
      </c>
      <c r="Q47" s="7">
        <f t="shared" si="6"/>
        <v>7.9849155743441664E-3</v>
      </c>
    </row>
    <row r="48" spans="1:17" x14ac:dyDescent="0.3">
      <c r="A48" t="s">
        <v>58</v>
      </c>
      <c r="B48" t="s">
        <v>218</v>
      </c>
      <c r="C48" t="str">
        <f t="shared" si="5"/>
        <v>Traditional</v>
      </c>
      <c r="D48">
        <v>2021</v>
      </c>
      <c r="E48" s="1">
        <v>1506.19</v>
      </c>
      <c r="F48" s="1">
        <v>9682.8700000000008</v>
      </c>
      <c r="G48" s="1">
        <v>13331.97</v>
      </c>
      <c r="H48" s="1">
        <v>-1241.48</v>
      </c>
      <c r="I48" s="1">
        <v>390.29</v>
      </c>
      <c r="J48" s="3">
        <v>307</v>
      </c>
      <c r="K48" s="3">
        <v>2057</v>
      </c>
      <c r="L48" t="s">
        <v>251</v>
      </c>
      <c r="M48" t="s">
        <v>256</v>
      </c>
      <c r="N48" s="8">
        <f t="shared" si="1"/>
        <v>885.14530039370845</v>
      </c>
      <c r="O48" s="7">
        <f t="shared" si="2"/>
        <v>6.4287174924810282</v>
      </c>
      <c r="P48" s="7">
        <f t="shared" si="3"/>
        <v>0.25912401489851877</v>
      </c>
      <c r="Q48" s="7">
        <f t="shared" si="6"/>
        <v>-0.82425192040844775</v>
      </c>
    </row>
    <row r="49" spans="1:17" x14ac:dyDescent="0.3">
      <c r="A49" t="s">
        <v>59</v>
      </c>
      <c r="B49" t="s">
        <v>218</v>
      </c>
      <c r="C49" t="str">
        <f t="shared" si="5"/>
        <v>Traditional</v>
      </c>
      <c r="D49">
        <v>2022</v>
      </c>
      <c r="E49" s="1">
        <v>17829.060000000001</v>
      </c>
      <c r="F49" s="1">
        <v>7951.67</v>
      </c>
      <c r="G49" s="1">
        <v>14755.77</v>
      </c>
      <c r="H49" s="1">
        <v>8620.2099999999991</v>
      </c>
      <c r="I49" s="1">
        <v>165.7</v>
      </c>
      <c r="J49" s="3">
        <v>8917</v>
      </c>
      <c r="K49" s="3">
        <v>0</v>
      </c>
      <c r="L49" t="s">
        <v>250</v>
      </c>
      <c r="M49" t="s">
        <v>256</v>
      </c>
      <c r="N49" s="8">
        <f t="shared" si="1"/>
        <v>82.762467566994559</v>
      </c>
      <c r="O49" s="7">
        <f t="shared" si="2"/>
        <v>0.44599490943437287</v>
      </c>
      <c r="P49" s="7">
        <f t="shared" si="3"/>
        <v>9.2938158265214194E-3</v>
      </c>
      <c r="Q49" s="7">
        <f t="shared" si="6"/>
        <v>0.48349211904609657</v>
      </c>
    </row>
    <row r="50" spans="1:17" x14ac:dyDescent="0.3">
      <c r="A50" t="s">
        <v>60</v>
      </c>
      <c r="B50" t="s">
        <v>218</v>
      </c>
      <c r="C50" t="str">
        <f t="shared" si="5"/>
        <v>Traditional</v>
      </c>
      <c r="D50">
        <v>2023</v>
      </c>
      <c r="E50" s="1">
        <v>23398.240000000002</v>
      </c>
      <c r="F50" s="1">
        <v>5164.92</v>
      </c>
      <c r="G50" s="1">
        <v>9180.7999999999993</v>
      </c>
      <c r="H50" s="1">
        <v>6255.24</v>
      </c>
      <c r="I50" s="1">
        <v>344.06</v>
      </c>
      <c r="J50" s="3">
        <v>6309</v>
      </c>
      <c r="K50" s="3">
        <v>0</v>
      </c>
      <c r="L50" t="s">
        <v>251</v>
      </c>
      <c r="M50" t="s">
        <v>255</v>
      </c>
      <c r="N50" s="8">
        <f t="shared" si="1"/>
        <v>39.237139203632402</v>
      </c>
      <c r="O50" s="7">
        <f t="shared" si="2"/>
        <v>0.22073967956564253</v>
      </c>
      <c r="P50" s="7">
        <f t="shared" si="3"/>
        <v>1.4704524784770136E-2</v>
      </c>
      <c r="Q50" s="7">
        <f t="shared" si="6"/>
        <v>0.26733805619567963</v>
      </c>
    </row>
    <row r="51" spans="1:17" x14ac:dyDescent="0.3">
      <c r="A51" t="s">
        <v>61</v>
      </c>
      <c r="B51" t="s">
        <v>218</v>
      </c>
      <c r="C51" t="str">
        <f t="shared" si="5"/>
        <v>Traditional</v>
      </c>
      <c r="D51">
        <v>2024</v>
      </c>
      <c r="E51" s="1">
        <v>6829.63</v>
      </c>
      <c r="F51" s="1">
        <v>5177.92</v>
      </c>
      <c r="G51" s="1">
        <v>12044.25</v>
      </c>
      <c r="H51" s="1">
        <v>7681.18</v>
      </c>
      <c r="I51" s="1">
        <v>335.7</v>
      </c>
      <c r="J51" s="3">
        <v>0</v>
      </c>
      <c r="K51" s="3">
        <v>400</v>
      </c>
      <c r="L51" t="s">
        <v>251</v>
      </c>
      <c r="M51" t="s">
        <v>256</v>
      </c>
      <c r="N51" s="8">
        <f t="shared" si="1"/>
        <v>176.35289173791259</v>
      </c>
      <c r="O51" s="7">
        <f t="shared" si="2"/>
        <v>0.75815527341891142</v>
      </c>
      <c r="P51" s="7">
        <f t="shared" si="3"/>
        <v>4.9153468050245765E-2</v>
      </c>
      <c r="Q51" s="7">
        <f t="shared" si="6"/>
        <v>1.1246846461667763</v>
      </c>
    </row>
    <row r="52" spans="1:17" x14ac:dyDescent="0.3">
      <c r="A52" t="s">
        <v>62</v>
      </c>
      <c r="B52" t="s">
        <v>220</v>
      </c>
      <c r="C52" t="str">
        <f t="shared" si="5"/>
        <v>Traditional</v>
      </c>
      <c r="D52">
        <v>2015</v>
      </c>
      <c r="E52" s="1">
        <v>12164.28</v>
      </c>
      <c r="F52" s="1">
        <v>12870.79</v>
      </c>
      <c r="G52" s="1">
        <v>9129.0400000000009</v>
      </c>
      <c r="H52" s="1">
        <v>-1810.32</v>
      </c>
      <c r="I52" s="1">
        <v>180.07</v>
      </c>
      <c r="J52" s="3">
        <v>0</v>
      </c>
      <c r="K52" s="3">
        <v>0</v>
      </c>
      <c r="L52" t="s">
        <v>251</v>
      </c>
      <c r="M52" t="s">
        <v>257</v>
      </c>
      <c r="N52" s="8">
        <f t="shared" si="1"/>
        <v>75.04792720983076</v>
      </c>
      <c r="O52" s="7">
        <f t="shared" si="2"/>
        <v>1.05808070843486</v>
      </c>
      <c r="P52" s="7">
        <f t="shared" si="3"/>
        <v>1.480317782885629E-2</v>
      </c>
      <c r="Q52" s="7">
        <f t="shared" si="6"/>
        <v>-0.14882261835472382</v>
      </c>
    </row>
    <row r="53" spans="1:17" x14ac:dyDescent="0.3">
      <c r="A53" t="s">
        <v>63</v>
      </c>
      <c r="B53" t="s">
        <v>220</v>
      </c>
      <c r="C53" t="str">
        <f t="shared" si="5"/>
        <v>Traditional</v>
      </c>
      <c r="D53">
        <v>2016</v>
      </c>
      <c r="E53" s="1">
        <v>18775.419999999998</v>
      </c>
      <c r="F53" s="1">
        <v>6088.09</v>
      </c>
      <c r="G53" s="1">
        <v>14146.24</v>
      </c>
      <c r="H53" s="1">
        <v>980.08</v>
      </c>
      <c r="I53" s="1">
        <v>154.59</v>
      </c>
      <c r="J53" s="3">
        <v>0</v>
      </c>
      <c r="K53" s="3">
        <v>1342</v>
      </c>
      <c r="L53" t="s">
        <v>250</v>
      </c>
      <c r="M53" t="s">
        <v>257</v>
      </c>
      <c r="N53" s="8">
        <f t="shared" si="1"/>
        <v>75.344466328849109</v>
      </c>
      <c r="O53" s="7">
        <f t="shared" si="2"/>
        <v>0.32425852524204524</v>
      </c>
      <c r="P53" s="7">
        <f t="shared" si="3"/>
        <v>8.2336373833448214E-3</v>
      </c>
      <c r="Q53" s="7">
        <f t="shared" si="6"/>
        <v>5.2200163831221891E-2</v>
      </c>
    </row>
    <row r="54" spans="1:17" x14ac:dyDescent="0.3">
      <c r="A54" t="s">
        <v>64</v>
      </c>
      <c r="B54" t="s">
        <v>220</v>
      </c>
      <c r="C54" t="str">
        <f t="shared" si="5"/>
        <v>Traditional</v>
      </c>
      <c r="D54">
        <v>2017</v>
      </c>
      <c r="E54" s="1">
        <v>12362.87</v>
      </c>
      <c r="F54" s="1">
        <v>13097.61</v>
      </c>
      <c r="G54" s="1">
        <v>19539.16</v>
      </c>
      <c r="H54" s="1">
        <v>3771.01</v>
      </c>
      <c r="I54" s="1">
        <v>173.38</v>
      </c>
      <c r="J54" s="3">
        <v>0</v>
      </c>
      <c r="K54" s="3">
        <v>1263</v>
      </c>
      <c r="L54" t="s">
        <v>251</v>
      </c>
      <c r="M54" t="s">
        <v>255</v>
      </c>
      <c r="N54" s="8">
        <f t="shared" si="1"/>
        <v>158.04712012663725</v>
      </c>
      <c r="O54" s="7">
        <f t="shared" si="2"/>
        <v>1.0594311838594113</v>
      </c>
      <c r="P54" s="7">
        <f t="shared" si="3"/>
        <v>1.4024251650304499E-2</v>
      </c>
      <c r="Q54" s="7">
        <f t="shared" si="6"/>
        <v>0.30502706895728904</v>
      </c>
    </row>
    <row r="55" spans="1:17" x14ac:dyDescent="0.3">
      <c r="A55" t="s">
        <v>65</v>
      </c>
      <c r="B55" t="s">
        <v>220</v>
      </c>
      <c r="C55" t="str">
        <f t="shared" si="5"/>
        <v>Traditional</v>
      </c>
      <c r="D55">
        <v>2018</v>
      </c>
      <c r="E55" s="1">
        <v>3601.28</v>
      </c>
      <c r="F55" s="1">
        <v>1010.18</v>
      </c>
      <c r="G55" s="1">
        <v>1374.16</v>
      </c>
      <c r="H55" s="1">
        <v>1213.5</v>
      </c>
      <c r="I55" s="1">
        <v>566.73</v>
      </c>
      <c r="J55" s="3">
        <v>0</v>
      </c>
      <c r="K55" s="3">
        <v>0</v>
      </c>
      <c r="L55" t="s">
        <v>251</v>
      </c>
      <c r="M55" t="s">
        <v>256</v>
      </c>
      <c r="N55" s="8">
        <f t="shared" si="1"/>
        <v>38.157543984361112</v>
      </c>
      <c r="O55" s="7">
        <f t="shared" si="2"/>
        <v>0.28050582015283454</v>
      </c>
      <c r="P55" s="7">
        <f t="shared" si="3"/>
        <v>0.15736904656122266</v>
      </c>
      <c r="Q55" s="7">
        <f t="shared" si="6"/>
        <v>0.33696352408032698</v>
      </c>
    </row>
    <row r="56" spans="1:17" x14ac:dyDescent="0.3">
      <c r="A56" t="s">
        <v>66</v>
      </c>
      <c r="B56" t="s">
        <v>220</v>
      </c>
      <c r="C56" t="str">
        <f t="shared" si="5"/>
        <v>Traditional</v>
      </c>
      <c r="D56">
        <v>2019</v>
      </c>
      <c r="E56" s="1">
        <v>1758.73</v>
      </c>
      <c r="F56" s="1">
        <v>16950.93</v>
      </c>
      <c r="G56" s="1">
        <v>9711.26</v>
      </c>
      <c r="H56" s="1">
        <v>7043.27</v>
      </c>
      <c r="I56" s="1">
        <v>243.42</v>
      </c>
      <c r="J56" s="3">
        <v>0</v>
      </c>
      <c r="K56" s="3">
        <v>671</v>
      </c>
      <c r="L56" t="s">
        <v>250</v>
      </c>
      <c r="M56" t="s">
        <v>256</v>
      </c>
      <c r="N56" s="8">
        <f t="shared" si="1"/>
        <v>552.17458052117149</v>
      </c>
      <c r="O56" s="7">
        <f t="shared" si="2"/>
        <v>9.6381650395455818</v>
      </c>
      <c r="P56" s="7">
        <f t="shared" si="3"/>
        <v>0.13840669119193963</v>
      </c>
      <c r="Q56" s="7">
        <f t="shared" si="6"/>
        <v>4.0047477441108077</v>
      </c>
    </row>
    <row r="57" spans="1:17" x14ac:dyDescent="0.3">
      <c r="A57" t="s">
        <v>67</v>
      </c>
      <c r="B57" t="s">
        <v>220</v>
      </c>
      <c r="C57" t="str">
        <f t="shared" si="5"/>
        <v>Traditional</v>
      </c>
      <c r="D57">
        <v>2020</v>
      </c>
      <c r="E57" s="1">
        <v>14172.79</v>
      </c>
      <c r="F57" s="1">
        <v>7607.9</v>
      </c>
      <c r="G57" s="1">
        <v>12043.7</v>
      </c>
      <c r="H57" s="1">
        <v>4802.6000000000004</v>
      </c>
      <c r="I57" s="1">
        <v>466.54</v>
      </c>
      <c r="J57" s="3">
        <v>6332</v>
      </c>
      <c r="K57" s="3">
        <v>0</v>
      </c>
      <c r="L57" t="s">
        <v>250</v>
      </c>
      <c r="M57" t="s">
        <v>256</v>
      </c>
      <c r="N57" s="8">
        <f t="shared" si="1"/>
        <v>84.977622613472718</v>
      </c>
      <c r="O57" s="7">
        <f t="shared" si="2"/>
        <v>0.5367962130250995</v>
      </c>
      <c r="P57" s="7">
        <f t="shared" si="3"/>
        <v>3.2918006969693332E-2</v>
      </c>
      <c r="Q57" s="7">
        <f t="shared" si="6"/>
        <v>0.33886059131617696</v>
      </c>
    </row>
    <row r="58" spans="1:17" x14ac:dyDescent="0.3">
      <c r="A58" t="s">
        <v>68</v>
      </c>
      <c r="B58" t="s">
        <v>220</v>
      </c>
      <c r="C58" t="str">
        <f t="shared" si="5"/>
        <v>Traditional</v>
      </c>
      <c r="D58">
        <v>2021</v>
      </c>
      <c r="E58" s="1">
        <v>15435.96</v>
      </c>
      <c r="F58" s="1">
        <v>13373.59</v>
      </c>
      <c r="G58" s="1">
        <v>18967.53</v>
      </c>
      <c r="H58" s="1">
        <v>285.67</v>
      </c>
      <c r="I58" s="1">
        <v>130.56</v>
      </c>
      <c r="J58" s="3">
        <v>0</v>
      </c>
      <c r="K58" s="3">
        <v>1032</v>
      </c>
      <c r="L58" t="s">
        <v>250</v>
      </c>
      <c r="M58" t="s">
        <v>255</v>
      </c>
      <c r="N58" s="8">
        <f t="shared" si="1"/>
        <v>122.87884912891715</v>
      </c>
      <c r="O58" s="7">
        <f t="shared" si="2"/>
        <v>0.86639185382703765</v>
      </c>
      <c r="P58" s="7">
        <f t="shared" si="3"/>
        <v>8.4581716977758428E-3</v>
      </c>
      <c r="Q58" s="7">
        <f t="shared" si="6"/>
        <v>1.8506785454225072E-2</v>
      </c>
    </row>
    <row r="59" spans="1:17" x14ac:dyDescent="0.3">
      <c r="A59" t="s">
        <v>69</v>
      </c>
      <c r="B59" t="s">
        <v>220</v>
      </c>
      <c r="C59" t="str">
        <f t="shared" si="5"/>
        <v>Traditional</v>
      </c>
      <c r="D59">
        <v>2022</v>
      </c>
      <c r="E59" s="1">
        <v>17389.59</v>
      </c>
      <c r="F59" s="1">
        <v>8564.44</v>
      </c>
      <c r="G59" s="1">
        <v>943.01</v>
      </c>
      <c r="H59" s="1">
        <v>1169.1500000000001</v>
      </c>
      <c r="I59" s="1">
        <v>173.22</v>
      </c>
      <c r="J59" s="3">
        <v>0</v>
      </c>
      <c r="K59" s="3">
        <v>2865</v>
      </c>
      <c r="L59" t="s">
        <v>251</v>
      </c>
      <c r="M59" t="s">
        <v>257</v>
      </c>
      <c r="N59" s="8">
        <f t="shared" si="1"/>
        <v>5.4228420566557345</v>
      </c>
      <c r="O59" s="7">
        <f t="shared" si="2"/>
        <v>0.49250384856687252</v>
      </c>
      <c r="P59" s="7">
        <f t="shared" si="3"/>
        <v>9.9611319185788742E-3</v>
      </c>
      <c r="Q59" s="7">
        <f t="shared" si="6"/>
        <v>6.7232752468574589E-2</v>
      </c>
    </row>
    <row r="60" spans="1:17" x14ac:dyDescent="0.3">
      <c r="A60" t="s">
        <v>70</v>
      </c>
      <c r="B60" t="s">
        <v>220</v>
      </c>
      <c r="C60" t="str">
        <f t="shared" si="5"/>
        <v>Traditional</v>
      </c>
      <c r="D60">
        <v>2023</v>
      </c>
      <c r="E60" s="1">
        <v>5346.57</v>
      </c>
      <c r="F60" s="1">
        <v>2243.02</v>
      </c>
      <c r="G60" s="1">
        <v>4728.75</v>
      </c>
      <c r="H60" s="1">
        <v>-361.12</v>
      </c>
      <c r="I60" s="1">
        <v>163.05000000000001</v>
      </c>
      <c r="J60" s="3">
        <v>0</v>
      </c>
      <c r="K60" s="3">
        <v>294</v>
      </c>
      <c r="L60" t="s">
        <v>251</v>
      </c>
      <c r="M60" t="s">
        <v>257</v>
      </c>
      <c r="N60" s="8">
        <f t="shared" si="1"/>
        <v>88.444554172114081</v>
      </c>
      <c r="O60" s="7">
        <f t="shared" si="2"/>
        <v>0.41952504128815299</v>
      </c>
      <c r="P60" s="7">
        <f t="shared" si="3"/>
        <v>3.0496187275206352E-2</v>
      </c>
      <c r="Q60" s="7">
        <f t="shared" si="6"/>
        <v>-6.7542368284713383E-2</v>
      </c>
    </row>
    <row r="61" spans="1:17" x14ac:dyDescent="0.3">
      <c r="A61" t="s">
        <v>71</v>
      </c>
      <c r="B61" t="s">
        <v>220</v>
      </c>
      <c r="C61" t="str">
        <f t="shared" si="5"/>
        <v>Traditional</v>
      </c>
      <c r="D61">
        <v>2024</v>
      </c>
      <c r="E61" s="1">
        <v>7570.96</v>
      </c>
      <c r="F61" s="1">
        <v>2413.5</v>
      </c>
      <c r="G61" s="1">
        <v>13866.96</v>
      </c>
      <c r="H61" s="1">
        <v>5697.07</v>
      </c>
      <c r="I61" s="1">
        <v>565.89</v>
      </c>
      <c r="J61" s="3">
        <v>8299</v>
      </c>
      <c r="K61" s="3">
        <v>1843</v>
      </c>
      <c r="L61" t="s">
        <v>250</v>
      </c>
      <c r="M61" t="s">
        <v>255</v>
      </c>
      <c r="N61" s="8">
        <f t="shared" si="1"/>
        <v>183.15986347834354</v>
      </c>
      <c r="O61" s="7">
        <f t="shared" si="2"/>
        <v>0.31878387945518138</v>
      </c>
      <c r="P61" s="7">
        <f t="shared" si="3"/>
        <v>7.4744814396060733E-2</v>
      </c>
      <c r="Q61" s="7">
        <f t="shared" si="6"/>
        <v>0.75248977672580486</v>
      </c>
    </row>
    <row r="62" spans="1:17" x14ac:dyDescent="0.3">
      <c r="A62" t="s">
        <v>72</v>
      </c>
      <c r="B62" t="s">
        <v>222</v>
      </c>
      <c r="C62" t="str">
        <f t="shared" si="5"/>
        <v>Traditional</v>
      </c>
      <c r="D62">
        <v>2015</v>
      </c>
      <c r="E62" s="1">
        <v>15290.98</v>
      </c>
      <c r="F62" s="1">
        <v>660.4</v>
      </c>
      <c r="G62" s="1">
        <v>4809.8100000000004</v>
      </c>
      <c r="H62" s="1">
        <v>5417.28</v>
      </c>
      <c r="I62" s="1">
        <v>517.01</v>
      </c>
      <c r="J62" s="3">
        <v>439</v>
      </c>
      <c r="K62" s="3">
        <v>2410</v>
      </c>
      <c r="L62" t="s">
        <v>253</v>
      </c>
      <c r="M62" t="s">
        <v>256</v>
      </c>
      <c r="N62" s="8">
        <f t="shared" si="1"/>
        <v>31.455210849795112</v>
      </c>
      <c r="O62" s="7">
        <f t="shared" si="2"/>
        <v>4.318886036081402E-2</v>
      </c>
      <c r="P62" s="7">
        <f t="shared" si="3"/>
        <v>3.3811436546251447E-2</v>
      </c>
      <c r="Q62" s="7">
        <f t="shared" si="6"/>
        <v>0.35427945102275982</v>
      </c>
    </row>
    <row r="63" spans="1:17" x14ac:dyDescent="0.3">
      <c r="A63" t="s">
        <v>73</v>
      </c>
      <c r="B63" t="s">
        <v>222</v>
      </c>
      <c r="C63" t="str">
        <f t="shared" si="5"/>
        <v>Traditional</v>
      </c>
      <c r="D63">
        <v>2016</v>
      </c>
      <c r="E63" s="1">
        <v>7314.84</v>
      </c>
      <c r="F63" s="1">
        <v>17945.63</v>
      </c>
      <c r="G63" s="1">
        <v>8886.93</v>
      </c>
      <c r="H63" s="1">
        <v>6956.69</v>
      </c>
      <c r="I63" s="1">
        <v>581.59</v>
      </c>
      <c r="J63" s="3">
        <v>7800</v>
      </c>
      <c r="K63" s="3">
        <v>0</v>
      </c>
      <c r="L63" t="s">
        <v>251</v>
      </c>
      <c r="M63" t="s">
        <v>257</v>
      </c>
      <c r="N63" s="8">
        <f t="shared" si="1"/>
        <v>121.49178929409257</v>
      </c>
      <c r="O63" s="7">
        <f t="shared" si="2"/>
        <v>2.4533181860437141</v>
      </c>
      <c r="P63" s="7">
        <f t="shared" si="3"/>
        <v>7.9508232579249855E-2</v>
      </c>
      <c r="Q63" s="7">
        <f t="shared" si="6"/>
        <v>0.95103789009739104</v>
      </c>
    </row>
    <row r="64" spans="1:17" x14ac:dyDescent="0.3">
      <c r="A64" t="s">
        <v>74</v>
      </c>
      <c r="B64" t="s">
        <v>222</v>
      </c>
      <c r="C64" t="str">
        <f t="shared" si="5"/>
        <v>Traditional</v>
      </c>
      <c r="D64">
        <v>2017</v>
      </c>
      <c r="E64" s="1">
        <v>10585.3</v>
      </c>
      <c r="F64" s="1">
        <v>9019.35</v>
      </c>
      <c r="G64" s="1">
        <v>13352.9</v>
      </c>
      <c r="H64" s="1">
        <v>2404.9699999999998</v>
      </c>
      <c r="I64" s="1">
        <v>457.5</v>
      </c>
      <c r="J64" s="3">
        <v>701</v>
      </c>
      <c r="K64" s="3">
        <v>0</v>
      </c>
      <c r="L64" t="s">
        <v>251</v>
      </c>
      <c r="M64" t="s">
        <v>256</v>
      </c>
      <c r="N64" s="8">
        <f t="shared" si="1"/>
        <v>126.14569261145175</v>
      </c>
      <c r="O64" s="7">
        <f t="shared" si="2"/>
        <v>0.85206371099543721</v>
      </c>
      <c r="P64" s="7">
        <f t="shared" si="3"/>
        <v>4.3220314965093105E-2</v>
      </c>
      <c r="Q64" s="7">
        <f t="shared" si="6"/>
        <v>0.22719904017836054</v>
      </c>
    </row>
    <row r="65" spans="1:17" x14ac:dyDescent="0.3">
      <c r="A65" t="s">
        <v>75</v>
      </c>
      <c r="B65" t="s">
        <v>222</v>
      </c>
      <c r="C65" t="str">
        <f t="shared" si="5"/>
        <v>Traditional</v>
      </c>
      <c r="D65">
        <v>2018</v>
      </c>
      <c r="E65" s="1">
        <v>21690.31</v>
      </c>
      <c r="F65" s="1">
        <v>14883.7</v>
      </c>
      <c r="G65" s="1">
        <v>322.68</v>
      </c>
      <c r="H65" s="1">
        <v>7563.04</v>
      </c>
      <c r="I65" s="1">
        <v>279.88</v>
      </c>
      <c r="J65" s="3">
        <v>0</v>
      </c>
      <c r="K65" s="3">
        <v>0</v>
      </c>
      <c r="L65" t="s">
        <v>250</v>
      </c>
      <c r="M65" t="s">
        <v>256</v>
      </c>
      <c r="N65" s="8">
        <f t="shared" si="1"/>
        <v>1.4876689175949998</v>
      </c>
      <c r="O65" s="7">
        <f t="shared" si="2"/>
        <v>0.68619120704130088</v>
      </c>
      <c r="P65" s="7">
        <f t="shared" si="3"/>
        <v>1.290345781134525E-2</v>
      </c>
      <c r="Q65" s="7">
        <f t="shared" si="6"/>
        <v>0.34868289111589457</v>
      </c>
    </row>
    <row r="66" spans="1:17" x14ac:dyDescent="0.3">
      <c r="A66" t="s">
        <v>76</v>
      </c>
      <c r="B66" t="s">
        <v>222</v>
      </c>
      <c r="C66" t="str">
        <f t="shared" ref="C66:C97" si="7">IF(OR(B66="Atom Bank",B66="Monzo Bank",B66="Starling bank",B66="Revolut UK"),"Digital","Traditional")</f>
        <v>Traditional</v>
      </c>
      <c r="D66">
        <v>2019</v>
      </c>
      <c r="E66" s="1">
        <v>5487.18</v>
      </c>
      <c r="F66" s="1">
        <v>9976.11</v>
      </c>
      <c r="G66" s="1">
        <v>18575.150000000001</v>
      </c>
      <c r="H66" s="1">
        <v>2819.28</v>
      </c>
      <c r="I66" s="1">
        <v>420.46</v>
      </c>
      <c r="J66" s="3">
        <v>0</v>
      </c>
      <c r="K66" s="3">
        <v>2630</v>
      </c>
      <c r="L66" t="s">
        <v>253</v>
      </c>
      <c r="M66" t="s">
        <v>256</v>
      </c>
      <c r="N66" s="8">
        <f t="shared" ref="N66:N129" si="8">G66/E66*100</f>
        <v>338.51905714775165</v>
      </c>
      <c r="O66" s="7">
        <f t="shared" ref="O66:O129" si="9">F66/E66</f>
        <v>1.8180759515816867</v>
      </c>
      <c r="P66" s="7">
        <f t="shared" ref="P66:P129" si="10">I66/E66</f>
        <v>7.662588068917002E-2</v>
      </c>
      <c r="Q66" s="7">
        <f t="shared" ref="Q66:Q97" si="11">H66/E66</f>
        <v>0.51379397067346066</v>
      </c>
    </row>
    <row r="67" spans="1:17" x14ac:dyDescent="0.3">
      <c r="A67" t="s">
        <v>77</v>
      </c>
      <c r="B67" t="s">
        <v>222</v>
      </c>
      <c r="C67" t="str">
        <f t="shared" si="7"/>
        <v>Traditional</v>
      </c>
      <c r="D67">
        <v>2020</v>
      </c>
      <c r="E67" s="1">
        <v>2783.63</v>
      </c>
      <c r="F67" s="1">
        <v>17862.18</v>
      </c>
      <c r="G67" s="1">
        <v>18284.72</v>
      </c>
      <c r="H67" s="1">
        <v>3075.93</v>
      </c>
      <c r="I67" s="1">
        <v>74.89</v>
      </c>
      <c r="J67" s="3">
        <v>2622</v>
      </c>
      <c r="K67" s="3">
        <v>0</v>
      </c>
      <c r="L67" t="s">
        <v>250</v>
      </c>
      <c r="M67" t="s">
        <v>257</v>
      </c>
      <c r="N67" s="8">
        <f t="shared" si="8"/>
        <v>656.86603463822428</v>
      </c>
      <c r="O67" s="7">
        <f t="shared" si="9"/>
        <v>6.4168657472437065</v>
      </c>
      <c r="P67" s="7">
        <f t="shared" si="10"/>
        <v>2.6903719244296118E-2</v>
      </c>
      <c r="Q67" s="7">
        <f t="shared" si="11"/>
        <v>1.1050067717333121</v>
      </c>
    </row>
    <row r="68" spans="1:17" x14ac:dyDescent="0.3">
      <c r="A68" t="s">
        <v>78</v>
      </c>
      <c r="B68" t="s">
        <v>222</v>
      </c>
      <c r="C68" t="str">
        <f t="shared" si="7"/>
        <v>Traditional</v>
      </c>
      <c r="D68">
        <v>2021</v>
      </c>
      <c r="E68" s="1">
        <v>24515.99</v>
      </c>
      <c r="F68" s="1">
        <v>4538.41</v>
      </c>
      <c r="G68" s="1">
        <v>11159.92</v>
      </c>
      <c r="H68" s="1">
        <v>2219.4499999999998</v>
      </c>
      <c r="I68" s="1">
        <v>553.51</v>
      </c>
      <c r="J68" s="3">
        <v>0</v>
      </c>
      <c r="K68" s="3">
        <v>0</v>
      </c>
      <c r="L68" t="s">
        <v>251</v>
      </c>
      <c r="M68" t="s">
        <v>256</v>
      </c>
      <c r="N68" s="8">
        <f t="shared" si="8"/>
        <v>45.52098446768823</v>
      </c>
      <c r="O68" s="7">
        <f t="shared" si="9"/>
        <v>0.18512040509071834</v>
      </c>
      <c r="P68" s="7">
        <f t="shared" si="10"/>
        <v>2.2577509617192695E-2</v>
      </c>
      <c r="Q68" s="7">
        <f t="shared" si="11"/>
        <v>9.0530710772846607E-2</v>
      </c>
    </row>
    <row r="69" spans="1:17" x14ac:dyDescent="0.3">
      <c r="A69" t="s">
        <v>79</v>
      </c>
      <c r="B69" t="s">
        <v>222</v>
      </c>
      <c r="C69" t="str">
        <f t="shared" si="7"/>
        <v>Traditional</v>
      </c>
      <c r="D69">
        <v>2022</v>
      </c>
      <c r="E69" s="1">
        <v>20603.46</v>
      </c>
      <c r="F69" s="1">
        <v>5234.53</v>
      </c>
      <c r="G69" s="1">
        <v>6181.55</v>
      </c>
      <c r="H69" s="1">
        <v>4456.3100000000004</v>
      </c>
      <c r="I69" s="1">
        <v>599.35</v>
      </c>
      <c r="J69" s="3">
        <v>0</v>
      </c>
      <c r="K69" s="3">
        <v>0</v>
      </c>
      <c r="L69" t="s">
        <v>251</v>
      </c>
      <c r="M69" t="s">
        <v>256</v>
      </c>
      <c r="N69" s="8">
        <f t="shared" si="8"/>
        <v>30.002485019506437</v>
      </c>
      <c r="O69" s="7">
        <f t="shared" si="9"/>
        <v>0.25406072572276694</v>
      </c>
      <c r="P69" s="7">
        <f t="shared" si="10"/>
        <v>2.9089774241802108E-2</v>
      </c>
      <c r="Q69" s="7">
        <f t="shared" si="11"/>
        <v>0.21628939993573898</v>
      </c>
    </row>
    <row r="70" spans="1:17" x14ac:dyDescent="0.3">
      <c r="A70" t="s">
        <v>80</v>
      </c>
      <c r="B70" t="s">
        <v>222</v>
      </c>
      <c r="C70" t="str">
        <f t="shared" si="7"/>
        <v>Traditional</v>
      </c>
      <c r="D70">
        <v>2023</v>
      </c>
      <c r="E70" s="1">
        <v>11655.94</v>
      </c>
      <c r="F70" s="1">
        <v>5927.64</v>
      </c>
      <c r="G70" s="1">
        <v>4016.45</v>
      </c>
      <c r="H70" s="1">
        <v>5672.48</v>
      </c>
      <c r="I70" s="1">
        <v>345.22</v>
      </c>
      <c r="J70" s="3">
        <v>3926</v>
      </c>
      <c r="K70" s="3">
        <v>0</v>
      </c>
      <c r="L70" t="s">
        <v>251</v>
      </c>
      <c r="M70" t="s">
        <v>257</v>
      </c>
      <c r="N70" s="8">
        <f t="shared" si="8"/>
        <v>34.45839631981633</v>
      </c>
      <c r="O70" s="7">
        <f t="shared" si="9"/>
        <v>0.50855100489535809</v>
      </c>
      <c r="P70" s="7">
        <f t="shared" si="10"/>
        <v>2.9617516905543442E-2</v>
      </c>
      <c r="Q70" s="7">
        <f t="shared" si="11"/>
        <v>0.48666002055604263</v>
      </c>
    </row>
    <row r="71" spans="1:17" x14ac:dyDescent="0.3">
      <c r="A71" t="s">
        <v>81</v>
      </c>
      <c r="B71" t="s">
        <v>222</v>
      </c>
      <c r="C71" t="str">
        <f t="shared" si="7"/>
        <v>Traditional</v>
      </c>
      <c r="D71">
        <v>2024</v>
      </c>
      <c r="E71" s="1">
        <v>24716.14</v>
      </c>
      <c r="F71" s="1">
        <v>14304.61</v>
      </c>
      <c r="G71" s="1">
        <v>13144.77</v>
      </c>
      <c r="H71" s="1">
        <v>-326.83999999999997</v>
      </c>
      <c r="I71" s="1">
        <v>579.07000000000005</v>
      </c>
      <c r="J71" s="3">
        <v>2168</v>
      </c>
      <c r="K71" s="3">
        <v>0</v>
      </c>
      <c r="L71" t="s">
        <v>250</v>
      </c>
      <c r="M71" t="s">
        <v>257</v>
      </c>
      <c r="N71" s="8">
        <f t="shared" si="8"/>
        <v>53.182940378230583</v>
      </c>
      <c r="O71" s="7">
        <f t="shared" si="9"/>
        <v>0.57875582514098078</v>
      </c>
      <c r="P71" s="7">
        <f t="shared" si="10"/>
        <v>2.3428820196033848E-2</v>
      </c>
      <c r="Q71" s="7">
        <f t="shared" si="11"/>
        <v>-1.3223747721124737E-2</v>
      </c>
    </row>
    <row r="72" spans="1:17" x14ac:dyDescent="0.3">
      <c r="A72" t="s">
        <v>82</v>
      </c>
      <c r="B72" t="s">
        <v>223</v>
      </c>
      <c r="C72" t="str">
        <f t="shared" si="7"/>
        <v>Traditional</v>
      </c>
      <c r="D72">
        <v>2015</v>
      </c>
      <c r="E72" s="1">
        <v>4031.81</v>
      </c>
      <c r="F72" s="1">
        <v>15702.61</v>
      </c>
      <c r="G72" s="1">
        <v>19408.150000000001</v>
      </c>
      <c r="H72" s="1">
        <v>-1176.8900000000001</v>
      </c>
      <c r="I72" s="1">
        <v>470.01</v>
      </c>
      <c r="J72" s="3">
        <v>4442</v>
      </c>
      <c r="K72" s="3">
        <v>0</v>
      </c>
      <c r="L72" t="s">
        <v>250</v>
      </c>
      <c r="M72" t="s">
        <v>256</v>
      </c>
      <c r="N72" s="8">
        <f t="shared" si="8"/>
        <v>481.37561045783411</v>
      </c>
      <c r="O72" s="7">
        <f t="shared" si="9"/>
        <v>3.8946800568479172</v>
      </c>
      <c r="P72" s="7">
        <f t="shared" si="10"/>
        <v>0.11657543386221077</v>
      </c>
      <c r="Q72" s="7">
        <f t="shared" si="11"/>
        <v>-0.291901156056461</v>
      </c>
    </row>
    <row r="73" spans="1:17" x14ac:dyDescent="0.3">
      <c r="A73" t="s">
        <v>83</v>
      </c>
      <c r="B73" t="s">
        <v>223</v>
      </c>
      <c r="C73" t="str">
        <f t="shared" si="7"/>
        <v>Traditional</v>
      </c>
      <c r="D73">
        <v>2016</v>
      </c>
      <c r="E73" s="1">
        <v>9810.23</v>
      </c>
      <c r="F73" s="1">
        <v>5836.57</v>
      </c>
      <c r="G73" s="1">
        <v>14458.73</v>
      </c>
      <c r="H73" s="1">
        <v>6353.42</v>
      </c>
      <c r="I73" s="1">
        <v>524.07000000000005</v>
      </c>
      <c r="J73" s="3">
        <v>0</v>
      </c>
      <c r="K73" s="3">
        <v>0</v>
      </c>
      <c r="L73" t="s">
        <v>253</v>
      </c>
      <c r="M73" t="s">
        <v>257</v>
      </c>
      <c r="N73" s="8">
        <f t="shared" si="8"/>
        <v>147.38421015613295</v>
      </c>
      <c r="O73" s="7">
        <f t="shared" si="9"/>
        <v>0.59494731520056099</v>
      </c>
      <c r="P73" s="7">
        <f t="shared" si="10"/>
        <v>5.3420765873990729E-2</v>
      </c>
      <c r="Q73" s="7">
        <f t="shared" si="11"/>
        <v>0.64763211463951409</v>
      </c>
    </row>
    <row r="74" spans="1:17" x14ac:dyDescent="0.3">
      <c r="A74" t="s">
        <v>84</v>
      </c>
      <c r="B74" t="s">
        <v>223</v>
      </c>
      <c r="C74" t="str">
        <f t="shared" si="7"/>
        <v>Traditional</v>
      </c>
      <c r="D74">
        <v>2017</v>
      </c>
      <c r="E74" s="1">
        <v>19129.060000000001</v>
      </c>
      <c r="F74" s="1">
        <v>12729.26</v>
      </c>
      <c r="G74" s="1">
        <v>2279.9899999999998</v>
      </c>
      <c r="H74" s="1">
        <v>-169.99</v>
      </c>
      <c r="I74" s="1">
        <v>183.18</v>
      </c>
      <c r="J74" s="3">
        <v>0</v>
      </c>
      <c r="K74" s="3">
        <v>1378</v>
      </c>
      <c r="L74" t="s">
        <v>251</v>
      </c>
      <c r="M74" t="s">
        <v>256</v>
      </c>
      <c r="N74" s="8">
        <f t="shared" si="8"/>
        <v>11.918986087136533</v>
      </c>
      <c r="O74" s="7">
        <f t="shared" si="9"/>
        <v>0.66544095737061826</v>
      </c>
      <c r="P74" s="7">
        <f t="shared" si="10"/>
        <v>9.5760063484562237E-3</v>
      </c>
      <c r="Q74" s="7">
        <f t="shared" si="11"/>
        <v>-8.8864795238239626E-3</v>
      </c>
    </row>
    <row r="75" spans="1:17" x14ac:dyDescent="0.3">
      <c r="A75" t="s">
        <v>85</v>
      </c>
      <c r="B75" t="s">
        <v>223</v>
      </c>
      <c r="C75" t="str">
        <f t="shared" si="7"/>
        <v>Traditional</v>
      </c>
      <c r="D75">
        <v>2018</v>
      </c>
      <c r="E75" s="1">
        <v>13513.57</v>
      </c>
      <c r="F75" s="1">
        <v>10273.52</v>
      </c>
      <c r="G75" s="1">
        <v>15912.63</v>
      </c>
      <c r="H75" s="1">
        <v>-130.18</v>
      </c>
      <c r="I75" s="1">
        <v>51.99</v>
      </c>
      <c r="J75" s="3">
        <v>0</v>
      </c>
      <c r="K75" s="3">
        <v>2088</v>
      </c>
      <c r="L75" t="s">
        <v>253</v>
      </c>
      <c r="M75" t="s">
        <v>256</v>
      </c>
      <c r="N75" s="8">
        <f t="shared" si="8"/>
        <v>117.75296979258627</v>
      </c>
      <c r="O75" s="7">
        <f t="shared" si="9"/>
        <v>0.76023730220807684</v>
      </c>
      <c r="P75" s="7">
        <f t="shared" si="10"/>
        <v>3.8472439185204209E-3</v>
      </c>
      <c r="Q75" s="7">
        <f t="shared" si="11"/>
        <v>-9.6332797328907167E-3</v>
      </c>
    </row>
    <row r="76" spans="1:17" x14ac:dyDescent="0.3">
      <c r="A76" t="s">
        <v>86</v>
      </c>
      <c r="B76" t="s">
        <v>223</v>
      </c>
      <c r="C76" t="str">
        <f t="shared" si="7"/>
        <v>Traditional</v>
      </c>
      <c r="D76">
        <v>2019</v>
      </c>
      <c r="E76" s="1">
        <v>16837.599999999999</v>
      </c>
      <c r="F76" s="1">
        <v>16200.57</v>
      </c>
      <c r="G76" s="1">
        <v>9465.49</v>
      </c>
      <c r="H76" s="1">
        <v>1163.95</v>
      </c>
      <c r="I76" s="1">
        <v>330.23</v>
      </c>
      <c r="J76" s="3">
        <v>1310</v>
      </c>
      <c r="K76" s="3">
        <v>0</v>
      </c>
      <c r="L76" t="s">
        <v>251</v>
      </c>
      <c r="M76" t="s">
        <v>257</v>
      </c>
      <c r="N76" s="8">
        <f t="shared" si="8"/>
        <v>56.216384757922746</v>
      </c>
      <c r="O76" s="7">
        <f t="shared" si="9"/>
        <v>0.96216622321471001</v>
      </c>
      <c r="P76" s="7">
        <f t="shared" si="10"/>
        <v>1.9612652634579755E-2</v>
      </c>
      <c r="Q76" s="7">
        <f t="shared" si="11"/>
        <v>6.9128022996151478E-2</v>
      </c>
    </row>
    <row r="77" spans="1:17" x14ac:dyDescent="0.3">
      <c r="A77" t="s">
        <v>87</v>
      </c>
      <c r="B77" t="s">
        <v>223</v>
      </c>
      <c r="C77" t="str">
        <f t="shared" si="7"/>
        <v>Traditional</v>
      </c>
      <c r="D77">
        <v>2020</v>
      </c>
      <c r="E77" s="1">
        <v>5380.82</v>
      </c>
      <c r="F77" s="1">
        <v>7047.54</v>
      </c>
      <c r="G77" s="1">
        <v>9819.2000000000007</v>
      </c>
      <c r="H77" s="1">
        <v>609.26</v>
      </c>
      <c r="I77" s="1">
        <v>345.29</v>
      </c>
      <c r="J77" s="3">
        <v>4947</v>
      </c>
      <c r="K77" s="3">
        <v>0</v>
      </c>
      <c r="L77" t="s">
        <v>251</v>
      </c>
      <c r="M77" t="s">
        <v>255</v>
      </c>
      <c r="N77" s="8">
        <f t="shared" si="8"/>
        <v>182.48519742344106</v>
      </c>
      <c r="O77" s="7">
        <f t="shared" si="9"/>
        <v>1.3097520452273075</v>
      </c>
      <c r="P77" s="7">
        <f t="shared" si="10"/>
        <v>6.4170516761385812E-2</v>
      </c>
      <c r="Q77" s="7">
        <f t="shared" si="11"/>
        <v>0.1132280953460625</v>
      </c>
    </row>
    <row r="78" spans="1:17" x14ac:dyDescent="0.3">
      <c r="A78" t="s">
        <v>88</v>
      </c>
      <c r="B78" t="s">
        <v>223</v>
      </c>
      <c r="C78" t="str">
        <f t="shared" si="7"/>
        <v>Traditional</v>
      </c>
      <c r="D78">
        <v>2021</v>
      </c>
      <c r="E78" s="1">
        <v>18744.39</v>
      </c>
      <c r="F78" s="1">
        <v>1072.99</v>
      </c>
      <c r="G78" s="1">
        <v>12246.21</v>
      </c>
      <c r="H78" s="1">
        <v>3464</v>
      </c>
      <c r="I78" s="1">
        <v>542.97</v>
      </c>
      <c r="J78" s="3">
        <v>0</v>
      </c>
      <c r="K78" s="3">
        <v>0</v>
      </c>
      <c r="L78" t="s">
        <v>253</v>
      </c>
      <c r="M78" t="s">
        <v>257</v>
      </c>
      <c r="N78" s="8">
        <f t="shared" si="8"/>
        <v>65.332667534126216</v>
      </c>
      <c r="O78" s="7">
        <f t="shared" si="9"/>
        <v>5.7243260516879987E-2</v>
      </c>
      <c r="P78" s="7">
        <f t="shared" si="10"/>
        <v>2.8967066946430375E-2</v>
      </c>
      <c r="Q78" s="7">
        <f t="shared" si="11"/>
        <v>0.18480195941292302</v>
      </c>
    </row>
    <row r="79" spans="1:17" x14ac:dyDescent="0.3">
      <c r="A79" t="s">
        <v>89</v>
      </c>
      <c r="B79" t="s">
        <v>223</v>
      </c>
      <c r="C79" t="str">
        <f t="shared" si="7"/>
        <v>Traditional</v>
      </c>
      <c r="D79">
        <v>2022</v>
      </c>
      <c r="E79" s="1">
        <v>19011.64</v>
      </c>
      <c r="F79" s="1">
        <v>13860.98</v>
      </c>
      <c r="G79" s="1">
        <v>13712.85</v>
      </c>
      <c r="H79" s="1">
        <v>-495.43</v>
      </c>
      <c r="I79" s="1">
        <v>62.81</v>
      </c>
      <c r="J79" s="3">
        <v>745</v>
      </c>
      <c r="K79" s="3">
        <v>1855</v>
      </c>
      <c r="L79" t="s">
        <v>250</v>
      </c>
      <c r="M79" t="s">
        <v>256</v>
      </c>
      <c r="N79" s="8">
        <f t="shared" si="8"/>
        <v>72.128706413544549</v>
      </c>
      <c r="O79" s="7">
        <f t="shared" si="9"/>
        <v>0.72907860657996892</v>
      </c>
      <c r="P79" s="7">
        <f t="shared" si="10"/>
        <v>3.3037654826201216E-3</v>
      </c>
      <c r="Q79" s="7">
        <f t="shared" si="11"/>
        <v>-2.6059298408764316E-2</v>
      </c>
    </row>
    <row r="80" spans="1:17" x14ac:dyDescent="0.3">
      <c r="A80" t="s">
        <v>90</v>
      </c>
      <c r="B80" t="s">
        <v>223</v>
      </c>
      <c r="C80" t="str">
        <f t="shared" si="7"/>
        <v>Traditional</v>
      </c>
      <c r="D80">
        <v>2023</v>
      </c>
      <c r="E80" s="1">
        <v>7730.21</v>
      </c>
      <c r="F80" s="1">
        <v>13505.16</v>
      </c>
      <c r="G80" s="1">
        <v>3760.11</v>
      </c>
      <c r="H80" s="1">
        <v>-546.24</v>
      </c>
      <c r="I80" s="1">
        <v>325.95</v>
      </c>
      <c r="J80" s="3">
        <v>6094</v>
      </c>
      <c r="K80" s="3">
        <v>0</v>
      </c>
      <c r="L80" t="s">
        <v>251</v>
      </c>
      <c r="M80" t="s">
        <v>256</v>
      </c>
      <c r="N80" s="8">
        <f t="shared" si="8"/>
        <v>48.64175746842583</v>
      </c>
      <c r="O80" s="7">
        <f t="shared" si="9"/>
        <v>1.747062498948929</v>
      </c>
      <c r="P80" s="7">
        <f t="shared" si="10"/>
        <v>4.2165736765236647E-2</v>
      </c>
      <c r="Q80" s="7">
        <f t="shared" si="11"/>
        <v>-7.0663022091249791E-2</v>
      </c>
    </row>
    <row r="81" spans="1:17" x14ac:dyDescent="0.3">
      <c r="A81" t="s">
        <v>91</v>
      </c>
      <c r="B81" t="s">
        <v>223</v>
      </c>
      <c r="C81" t="str">
        <f t="shared" si="7"/>
        <v>Traditional</v>
      </c>
      <c r="D81">
        <v>2024</v>
      </c>
      <c r="E81" s="1">
        <v>3321.66</v>
      </c>
      <c r="F81" s="1">
        <v>17339.5</v>
      </c>
      <c r="G81" s="1">
        <v>3072.91</v>
      </c>
      <c r="H81" s="1">
        <v>8631.5</v>
      </c>
      <c r="I81" s="1">
        <v>516.78</v>
      </c>
      <c r="J81" s="3">
        <v>6611</v>
      </c>
      <c r="K81" s="3">
        <v>0</v>
      </c>
      <c r="L81" t="s">
        <v>250</v>
      </c>
      <c r="M81" t="s">
        <v>256</v>
      </c>
      <c r="N81" s="8">
        <f t="shared" si="8"/>
        <v>92.5112744832403</v>
      </c>
      <c r="O81" s="7">
        <f t="shared" si="9"/>
        <v>5.2201308984062189</v>
      </c>
      <c r="P81" s="7">
        <f t="shared" si="10"/>
        <v>0.15557883708748035</v>
      </c>
      <c r="Q81" s="7">
        <f t="shared" si="11"/>
        <v>2.598550122529097</v>
      </c>
    </row>
    <row r="82" spans="1:17" x14ac:dyDescent="0.3">
      <c r="A82" t="s">
        <v>92</v>
      </c>
      <c r="B82" t="s">
        <v>225</v>
      </c>
      <c r="C82" t="str">
        <f t="shared" si="7"/>
        <v>Traditional</v>
      </c>
      <c r="D82">
        <v>2015</v>
      </c>
      <c r="E82" s="1">
        <v>16984.3</v>
      </c>
      <c r="F82" s="1">
        <v>12167.67</v>
      </c>
      <c r="G82" s="1">
        <v>11815.83</v>
      </c>
      <c r="H82" s="1">
        <v>7046.59</v>
      </c>
      <c r="I82" s="1">
        <v>564.47</v>
      </c>
      <c r="J82" s="3">
        <v>0</v>
      </c>
      <c r="K82" s="3">
        <v>1981</v>
      </c>
      <c r="L82" t="s">
        <v>250</v>
      </c>
      <c r="M82" t="s">
        <v>257</v>
      </c>
      <c r="N82" s="8">
        <f t="shared" si="8"/>
        <v>69.569131492024994</v>
      </c>
      <c r="O82" s="7">
        <f t="shared" si="9"/>
        <v>0.71640691697626635</v>
      </c>
      <c r="P82" s="7">
        <f t="shared" si="10"/>
        <v>3.3234810972486359E-2</v>
      </c>
      <c r="Q82" s="7">
        <f t="shared" si="11"/>
        <v>0.41488845580918854</v>
      </c>
    </row>
    <row r="83" spans="1:17" x14ac:dyDescent="0.3">
      <c r="A83" t="s">
        <v>93</v>
      </c>
      <c r="B83" t="s">
        <v>225</v>
      </c>
      <c r="C83" t="str">
        <f t="shared" si="7"/>
        <v>Traditional</v>
      </c>
      <c r="D83">
        <v>2016</v>
      </c>
      <c r="E83" s="1">
        <v>16367.48</v>
      </c>
      <c r="F83" s="1">
        <v>11510.19</v>
      </c>
      <c r="G83" s="1">
        <v>9446.07</v>
      </c>
      <c r="H83" s="1">
        <v>5711.85</v>
      </c>
      <c r="I83" s="1">
        <v>391.3</v>
      </c>
      <c r="J83" s="3">
        <v>0</v>
      </c>
      <c r="K83" s="3">
        <v>235</v>
      </c>
      <c r="L83" t="s">
        <v>251</v>
      </c>
      <c r="M83" t="s">
        <v>256</v>
      </c>
      <c r="N83" s="8">
        <f t="shared" si="8"/>
        <v>57.712427325403794</v>
      </c>
      <c r="O83" s="7">
        <f t="shared" si="9"/>
        <v>0.70323531783756577</v>
      </c>
      <c r="P83" s="7">
        <f t="shared" si="10"/>
        <v>2.3907162251000154E-2</v>
      </c>
      <c r="Q83" s="7">
        <f t="shared" si="11"/>
        <v>0.34897552952562033</v>
      </c>
    </row>
    <row r="84" spans="1:17" x14ac:dyDescent="0.3">
      <c r="A84" t="s">
        <v>94</v>
      </c>
      <c r="B84" t="s">
        <v>225</v>
      </c>
      <c r="C84" t="str">
        <f t="shared" si="7"/>
        <v>Traditional</v>
      </c>
      <c r="D84">
        <v>2017</v>
      </c>
      <c r="E84" s="1">
        <v>13669.89</v>
      </c>
      <c r="F84" s="1">
        <v>7117.9</v>
      </c>
      <c r="G84" s="1">
        <v>7608.93</v>
      </c>
      <c r="H84" s="1">
        <v>8443.19</v>
      </c>
      <c r="I84" s="1">
        <v>419.41</v>
      </c>
      <c r="J84" s="3">
        <v>8950</v>
      </c>
      <c r="K84" s="3">
        <v>2455</v>
      </c>
      <c r="L84" t="s">
        <v>251</v>
      </c>
      <c r="M84" t="s">
        <v>257</v>
      </c>
      <c r="N84" s="8">
        <f t="shared" si="8"/>
        <v>55.661969481831974</v>
      </c>
      <c r="O84" s="7">
        <f t="shared" si="9"/>
        <v>0.52069914242177517</v>
      </c>
      <c r="P84" s="7">
        <f t="shared" si="10"/>
        <v>3.0681300288444166E-2</v>
      </c>
      <c r="Q84" s="7">
        <f t="shared" si="11"/>
        <v>0.61764871553465328</v>
      </c>
    </row>
    <row r="85" spans="1:17" x14ac:dyDescent="0.3">
      <c r="A85" t="s">
        <v>95</v>
      </c>
      <c r="B85" t="s">
        <v>225</v>
      </c>
      <c r="C85" t="str">
        <f t="shared" si="7"/>
        <v>Traditional</v>
      </c>
      <c r="D85">
        <v>2018</v>
      </c>
      <c r="E85" s="1">
        <v>10498.84</v>
      </c>
      <c r="F85" s="1">
        <v>17137.080000000002</v>
      </c>
      <c r="G85" s="1">
        <v>944.51</v>
      </c>
      <c r="H85" s="1">
        <v>2075.83</v>
      </c>
      <c r="I85" s="1">
        <v>268.81</v>
      </c>
      <c r="J85" s="3">
        <v>3968</v>
      </c>
      <c r="K85" s="3">
        <v>0</v>
      </c>
      <c r="L85" t="s">
        <v>250</v>
      </c>
      <c r="M85" t="s">
        <v>257</v>
      </c>
      <c r="N85" s="8">
        <f t="shared" si="8"/>
        <v>8.996327213292135</v>
      </c>
      <c r="O85" s="7">
        <f t="shared" si="9"/>
        <v>1.6322831855709774</v>
      </c>
      <c r="P85" s="7">
        <f t="shared" si="10"/>
        <v>2.5603780989137848E-2</v>
      </c>
      <c r="Q85" s="7">
        <f t="shared" si="11"/>
        <v>0.19771993858369113</v>
      </c>
    </row>
    <row r="86" spans="1:17" x14ac:dyDescent="0.3">
      <c r="A86" t="s">
        <v>96</v>
      </c>
      <c r="B86" t="s">
        <v>225</v>
      </c>
      <c r="C86" t="str">
        <f t="shared" si="7"/>
        <v>Traditional</v>
      </c>
      <c r="D86">
        <v>2019</v>
      </c>
      <c r="E86" s="1">
        <v>5150.3100000000004</v>
      </c>
      <c r="F86" s="1">
        <v>2374.44</v>
      </c>
      <c r="G86" s="1">
        <v>17006.25</v>
      </c>
      <c r="H86" s="1">
        <v>3001.89</v>
      </c>
      <c r="I86" s="1">
        <v>399.35</v>
      </c>
      <c r="J86" s="3">
        <v>0</v>
      </c>
      <c r="K86" s="3">
        <v>1416</v>
      </c>
      <c r="L86" t="s">
        <v>253</v>
      </c>
      <c r="M86" t="s">
        <v>257</v>
      </c>
      <c r="N86" s="8">
        <f t="shared" si="8"/>
        <v>330.19857057148016</v>
      </c>
      <c r="O86" s="7">
        <f t="shared" si="9"/>
        <v>0.46102855944593624</v>
      </c>
      <c r="P86" s="7">
        <f t="shared" si="10"/>
        <v>7.7539021922952214E-2</v>
      </c>
      <c r="Q86" s="7">
        <f t="shared" si="11"/>
        <v>0.58285617758931008</v>
      </c>
    </row>
    <row r="87" spans="1:17" x14ac:dyDescent="0.3">
      <c r="A87" t="s">
        <v>97</v>
      </c>
      <c r="B87" t="s">
        <v>225</v>
      </c>
      <c r="C87" t="str">
        <f t="shared" si="7"/>
        <v>Traditional</v>
      </c>
      <c r="D87">
        <v>2020</v>
      </c>
      <c r="E87" s="1">
        <v>14078.09</v>
      </c>
      <c r="F87" s="1">
        <v>10637.62</v>
      </c>
      <c r="G87" s="1">
        <v>16317.14</v>
      </c>
      <c r="H87" s="1">
        <v>562.99</v>
      </c>
      <c r="I87" s="1">
        <v>465.75</v>
      </c>
      <c r="J87" s="3">
        <v>146</v>
      </c>
      <c r="K87" s="3">
        <v>642</v>
      </c>
      <c r="L87" t="s">
        <v>250</v>
      </c>
      <c r="M87" t="s">
        <v>256</v>
      </c>
      <c r="N87" s="8">
        <f t="shared" si="8"/>
        <v>115.90450124981442</v>
      </c>
      <c r="O87" s="7">
        <f t="shared" si="9"/>
        <v>0.75561528588040006</v>
      </c>
      <c r="P87" s="7">
        <f t="shared" si="10"/>
        <v>3.3083323092834328E-2</v>
      </c>
      <c r="Q87" s="7">
        <f t="shared" si="11"/>
        <v>3.9990510076295858E-2</v>
      </c>
    </row>
    <row r="88" spans="1:17" x14ac:dyDescent="0.3">
      <c r="A88" t="s">
        <v>98</v>
      </c>
      <c r="B88" t="s">
        <v>225</v>
      </c>
      <c r="C88" t="str">
        <f t="shared" si="7"/>
        <v>Traditional</v>
      </c>
      <c r="D88">
        <v>2021</v>
      </c>
      <c r="E88" s="1">
        <v>21727.97</v>
      </c>
      <c r="F88" s="1">
        <v>2546.1</v>
      </c>
      <c r="G88" s="1">
        <v>7357.37</v>
      </c>
      <c r="H88" s="1">
        <v>6672.75</v>
      </c>
      <c r="I88" s="1">
        <v>355.37</v>
      </c>
      <c r="J88" s="3">
        <v>0</v>
      </c>
      <c r="K88" s="3">
        <v>1136</v>
      </c>
      <c r="L88" t="s">
        <v>253</v>
      </c>
      <c r="M88" t="s">
        <v>257</v>
      </c>
      <c r="N88" s="8">
        <f t="shared" si="8"/>
        <v>33.861285706856179</v>
      </c>
      <c r="O88" s="7">
        <f t="shared" si="9"/>
        <v>0.11718075825767431</v>
      </c>
      <c r="P88" s="7">
        <f t="shared" si="10"/>
        <v>1.6355416543745227E-2</v>
      </c>
      <c r="Q88" s="7">
        <f t="shared" si="11"/>
        <v>0.3071041611342431</v>
      </c>
    </row>
    <row r="89" spans="1:17" x14ac:dyDescent="0.3">
      <c r="A89" t="s">
        <v>99</v>
      </c>
      <c r="B89" t="s">
        <v>225</v>
      </c>
      <c r="C89" t="str">
        <f t="shared" si="7"/>
        <v>Traditional</v>
      </c>
      <c r="D89">
        <v>2022</v>
      </c>
      <c r="E89" s="1">
        <v>2057.17</v>
      </c>
      <c r="F89" s="1">
        <v>8179.3</v>
      </c>
      <c r="G89" s="1">
        <v>7432.17</v>
      </c>
      <c r="H89" s="1">
        <v>4530.33</v>
      </c>
      <c r="I89" s="1">
        <v>273.94</v>
      </c>
      <c r="J89" s="3">
        <v>0</v>
      </c>
      <c r="K89" s="3">
        <v>0</v>
      </c>
      <c r="L89" t="s">
        <v>251</v>
      </c>
      <c r="M89" t="s">
        <v>257</v>
      </c>
      <c r="N89" s="8">
        <f t="shared" si="8"/>
        <v>361.28127476095801</v>
      </c>
      <c r="O89" s="7">
        <f t="shared" si="9"/>
        <v>3.9759961500507979</v>
      </c>
      <c r="P89" s="7">
        <f t="shared" si="10"/>
        <v>0.13316352075910109</v>
      </c>
      <c r="Q89" s="7">
        <f t="shared" si="11"/>
        <v>2.2022146930005784</v>
      </c>
    </row>
    <row r="90" spans="1:17" x14ac:dyDescent="0.3">
      <c r="A90" t="s">
        <v>100</v>
      </c>
      <c r="B90" t="s">
        <v>225</v>
      </c>
      <c r="C90" t="str">
        <f t="shared" si="7"/>
        <v>Traditional</v>
      </c>
      <c r="D90">
        <v>2023</v>
      </c>
      <c r="E90" s="1">
        <v>12235.06</v>
      </c>
      <c r="F90" s="1">
        <v>7348.79</v>
      </c>
      <c r="G90" s="1">
        <v>13816.12</v>
      </c>
      <c r="H90" s="1">
        <v>3392.96</v>
      </c>
      <c r="I90" s="1">
        <v>546.27</v>
      </c>
      <c r="J90" s="3">
        <v>0</v>
      </c>
      <c r="K90" s="3">
        <v>1369</v>
      </c>
      <c r="L90" t="s">
        <v>250</v>
      </c>
      <c r="M90" t="s">
        <v>255</v>
      </c>
      <c r="N90" s="8">
        <f t="shared" si="8"/>
        <v>112.92237226462316</v>
      </c>
      <c r="O90" s="7">
        <f t="shared" si="9"/>
        <v>0.60063375251122597</v>
      </c>
      <c r="P90" s="7">
        <f t="shared" si="10"/>
        <v>4.4647921628500391E-2</v>
      </c>
      <c r="Q90" s="7">
        <f t="shared" si="11"/>
        <v>0.27731453707623832</v>
      </c>
    </row>
    <row r="91" spans="1:17" x14ac:dyDescent="0.3">
      <c r="A91" t="s">
        <v>101</v>
      </c>
      <c r="B91" t="s">
        <v>225</v>
      </c>
      <c r="C91" t="str">
        <f t="shared" si="7"/>
        <v>Traditional</v>
      </c>
      <c r="D91">
        <v>2024</v>
      </c>
      <c r="E91" s="1">
        <v>13934.73</v>
      </c>
      <c r="F91" s="1">
        <v>5988.3</v>
      </c>
      <c r="G91" s="1">
        <v>19894.169999999998</v>
      </c>
      <c r="H91" s="1">
        <v>3836.13</v>
      </c>
      <c r="I91" s="1">
        <v>274.95999999999998</v>
      </c>
      <c r="J91" s="3">
        <v>0</v>
      </c>
      <c r="K91" s="3">
        <v>2924</v>
      </c>
      <c r="L91" t="s">
        <v>250</v>
      </c>
      <c r="M91" t="s">
        <v>257</v>
      </c>
      <c r="N91" s="8">
        <f t="shared" si="8"/>
        <v>142.76681356581719</v>
      </c>
      <c r="O91" s="7">
        <f t="shared" si="9"/>
        <v>0.4297392199202999</v>
      </c>
      <c r="P91" s="7">
        <f t="shared" si="10"/>
        <v>1.9731993371956254E-2</v>
      </c>
      <c r="Q91" s="7">
        <f t="shared" si="11"/>
        <v>0.27529273979474306</v>
      </c>
    </row>
    <row r="92" spans="1:17" x14ac:dyDescent="0.3">
      <c r="A92" t="s">
        <v>102</v>
      </c>
      <c r="B92" t="s">
        <v>227</v>
      </c>
      <c r="C92" t="str">
        <f t="shared" si="7"/>
        <v>Traditional</v>
      </c>
      <c r="D92">
        <v>2015</v>
      </c>
      <c r="E92" s="1">
        <v>22258.23</v>
      </c>
      <c r="F92" s="1">
        <v>7565.88</v>
      </c>
      <c r="G92" s="1">
        <v>16600.16</v>
      </c>
      <c r="H92" s="1">
        <v>2386.0300000000002</v>
      </c>
      <c r="I92" s="1">
        <v>439.12</v>
      </c>
      <c r="J92" s="3">
        <v>5220</v>
      </c>
      <c r="K92" s="3">
        <v>0</v>
      </c>
      <c r="L92" t="s">
        <v>251</v>
      </c>
      <c r="M92" t="s">
        <v>255</v>
      </c>
      <c r="N92" s="8">
        <f t="shared" si="8"/>
        <v>74.579874500353355</v>
      </c>
      <c r="O92" s="7">
        <f t="shared" si="9"/>
        <v>0.33991382064072484</v>
      </c>
      <c r="P92" s="7">
        <f t="shared" si="10"/>
        <v>1.9728433033534113E-2</v>
      </c>
      <c r="Q92" s="7">
        <f t="shared" si="11"/>
        <v>0.10719765228412144</v>
      </c>
    </row>
    <row r="93" spans="1:17" x14ac:dyDescent="0.3">
      <c r="A93" t="s">
        <v>103</v>
      </c>
      <c r="B93" t="s">
        <v>227</v>
      </c>
      <c r="C93" t="str">
        <f t="shared" si="7"/>
        <v>Traditional</v>
      </c>
      <c r="D93">
        <v>2016</v>
      </c>
      <c r="E93" s="1">
        <v>2735.01</v>
      </c>
      <c r="F93" s="1">
        <v>1719.49</v>
      </c>
      <c r="G93" s="1">
        <v>8807.9699999999993</v>
      </c>
      <c r="H93" s="1">
        <v>6190.48</v>
      </c>
      <c r="I93" s="1">
        <v>226.72</v>
      </c>
      <c r="J93" s="3">
        <v>0</v>
      </c>
      <c r="K93" s="3">
        <v>0</v>
      </c>
      <c r="L93" t="s">
        <v>250</v>
      </c>
      <c r="M93" t="s">
        <v>256</v>
      </c>
      <c r="N93" s="8">
        <f t="shared" si="8"/>
        <v>322.04525760417687</v>
      </c>
      <c r="O93" s="7">
        <f t="shared" si="9"/>
        <v>0.62869605595591971</v>
      </c>
      <c r="P93" s="7">
        <f t="shared" si="10"/>
        <v>8.2895492155421732E-2</v>
      </c>
      <c r="Q93" s="7">
        <f t="shared" si="11"/>
        <v>2.2634213403241668</v>
      </c>
    </row>
    <row r="94" spans="1:17" x14ac:dyDescent="0.3">
      <c r="A94" t="s">
        <v>104</v>
      </c>
      <c r="B94" t="s">
        <v>227</v>
      </c>
      <c r="C94" t="str">
        <f t="shared" si="7"/>
        <v>Traditional</v>
      </c>
      <c r="D94">
        <v>2017</v>
      </c>
      <c r="E94" s="1">
        <v>18881.96</v>
      </c>
      <c r="F94" s="1">
        <v>15652.04</v>
      </c>
      <c r="G94" s="1">
        <v>14504.9</v>
      </c>
      <c r="H94" s="1">
        <v>8652.3799999999992</v>
      </c>
      <c r="I94" s="1">
        <v>362.24</v>
      </c>
      <c r="J94" s="3">
        <v>0</v>
      </c>
      <c r="K94" s="3">
        <v>2417</v>
      </c>
      <c r="L94" t="s">
        <v>253</v>
      </c>
      <c r="M94" t="s">
        <v>257</v>
      </c>
      <c r="N94" s="8">
        <f t="shared" si="8"/>
        <v>76.818826011706406</v>
      </c>
      <c r="O94" s="7">
        <f t="shared" si="9"/>
        <v>0.82894148700664561</v>
      </c>
      <c r="P94" s="7">
        <f t="shared" si="10"/>
        <v>1.9184449072024302E-2</v>
      </c>
      <c r="Q94" s="7">
        <f t="shared" si="11"/>
        <v>0.45823526794887814</v>
      </c>
    </row>
    <row r="95" spans="1:17" x14ac:dyDescent="0.3">
      <c r="A95" t="s">
        <v>105</v>
      </c>
      <c r="B95" t="s">
        <v>227</v>
      </c>
      <c r="C95" t="str">
        <f t="shared" si="7"/>
        <v>Traditional</v>
      </c>
      <c r="D95">
        <v>2018</v>
      </c>
      <c r="E95" s="1">
        <v>9077.7900000000009</v>
      </c>
      <c r="F95" s="1">
        <v>10101.530000000001</v>
      </c>
      <c r="G95" s="1">
        <v>2563.2399999999998</v>
      </c>
      <c r="H95" s="1">
        <v>1064.25</v>
      </c>
      <c r="I95" s="1">
        <v>139.56</v>
      </c>
      <c r="J95" s="3">
        <v>0</v>
      </c>
      <c r="K95" s="3">
        <v>0</v>
      </c>
      <c r="L95" t="s">
        <v>250</v>
      </c>
      <c r="M95" t="s">
        <v>255</v>
      </c>
      <c r="N95" s="8">
        <f t="shared" si="8"/>
        <v>28.236387931423835</v>
      </c>
      <c r="O95" s="7">
        <f t="shared" si="9"/>
        <v>1.112774144367737</v>
      </c>
      <c r="P95" s="7">
        <f t="shared" si="10"/>
        <v>1.5373785910447366E-2</v>
      </c>
      <c r="Q95" s="7">
        <f t="shared" si="11"/>
        <v>0.11723668425905423</v>
      </c>
    </row>
    <row r="96" spans="1:17" x14ac:dyDescent="0.3">
      <c r="A96" t="s">
        <v>106</v>
      </c>
      <c r="B96" t="s">
        <v>227</v>
      </c>
      <c r="C96" t="str">
        <f t="shared" si="7"/>
        <v>Traditional</v>
      </c>
      <c r="D96">
        <v>2019</v>
      </c>
      <c r="E96" s="1">
        <v>23077.67</v>
      </c>
      <c r="F96" s="1">
        <v>6448.22</v>
      </c>
      <c r="G96" s="1">
        <v>3873.69</v>
      </c>
      <c r="H96" s="1">
        <v>-424.23</v>
      </c>
      <c r="I96" s="1">
        <v>396.12</v>
      </c>
      <c r="J96" s="3">
        <v>0</v>
      </c>
      <c r="K96" s="3">
        <v>2643</v>
      </c>
      <c r="L96" t="s">
        <v>250</v>
      </c>
      <c r="M96" t="s">
        <v>257</v>
      </c>
      <c r="N96" s="8">
        <f t="shared" si="8"/>
        <v>16.785446711041455</v>
      </c>
      <c r="O96" s="7">
        <f t="shared" si="9"/>
        <v>0.27941382297259648</v>
      </c>
      <c r="P96" s="7">
        <f t="shared" si="10"/>
        <v>1.7164644437675035E-2</v>
      </c>
      <c r="Q96" s="7">
        <f t="shared" si="11"/>
        <v>-1.8382705013114412E-2</v>
      </c>
    </row>
    <row r="97" spans="1:17" x14ac:dyDescent="0.3">
      <c r="A97" t="s">
        <v>107</v>
      </c>
      <c r="B97" t="s">
        <v>227</v>
      </c>
      <c r="C97" t="str">
        <f t="shared" si="7"/>
        <v>Traditional</v>
      </c>
      <c r="D97">
        <v>2020</v>
      </c>
      <c r="E97" s="1">
        <v>11614.32</v>
      </c>
      <c r="F97" s="1">
        <v>3001.89</v>
      </c>
      <c r="G97" s="1">
        <v>6439.26</v>
      </c>
      <c r="H97" s="1">
        <v>1568.21</v>
      </c>
      <c r="I97" s="1">
        <v>565.14</v>
      </c>
      <c r="J97" s="3">
        <v>0</v>
      </c>
      <c r="K97" s="3">
        <v>687</v>
      </c>
      <c r="L97" t="s">
        <v>250</v>
      </c>
      <c r="M97" t="s">
        <v>255</v>
      </c>
      <c r="N97" s="8">
        <f t="shared" si="8"/>
        <v>55.442419358171634</v>
      </c>
      <c r="O97" s="7">
        <f t="shared" si="9"/>
        <v>0.25846455065815305</v>
      </c>
      <c r="P97" s="7">
        <f t="shared" si="10"/>
        <v>4.8658896947905692E-2</v>
      </c>
      <c r="Q97" s="7">
        <f t="shared" si="11"/>
        <v>0.13502383264797252</v>
      </c>
    </row>
    <row r="98" spans="1:17" x14ac:dyDescent="0.3">
      <c r="A98" t="s">
        <v>108</v>
      </c>
      <c r="B98" t="s">
        <v>227</v>
      </c>
      <c r="C98" t="str">
        <f t="shared" ref="C98:C129" si="12">IF(OR(B98="Atom Bank",B98="Monzo Bank",B98="Starling bank",B98="Revolut UK"),"Digital","Traditional")</f>
        <v>Traditional</v>
      </c>
      <c r="D98">
        <v>2021</v>
      </c>
      <c r="E98" s="1">
        <v>16717.5</v>
      </c>
      <c r="F98" s="1">
        <v>8844.7800000000007</v>
      </c>
      <c r="G98" s="1">
        <v>9008.27</v>
      </c>
      <c r="H98" s="1">
        <v>1004.84</v>
      </c>
      <c r="I98" s="1">
        <v>454.19</v>
      </c>
      <c r="J98" s="3">
        <v>1964</v>
      </c>
      <c r="K98" s="3">
        <v>1810</v>
      </c>
      <c r="L98" t="s">
        <v>251</v>
      </c>
      <c r="M98" t="s">
        <v>257</v>
      </c>
      <c r="N98" s="8">
        <f t="shared" si="8"/>
        <v>53.885269926723502</v>
      </c>
      <c r="O98" s="7">
        <f t="shared" si="9"/>
        <v>0.52907312696276365</v>
      </c>
      <c r="P98" s="7">
        <f t="shared" si="10"/>
        <v>2.7168535965305819E-2</v>
      </c>
      <c r="Q98" s="7">
        <f t="shared" ref="Q98:Q129" si="13">H98/E98</f>
        <v>6.0107073426050546E-2</v>
      </c>
    </row>
    <row r="99" spans="1:17" x14ac:dyDescent="0.3">
      <c r="A99" t="s">
        <v>109</v>
      </c>
      <c r="B99" t="s">
        <v>227</v>
      </c>
      <c r="C99" t="str">
        <f t="shared" si="12"/>
        <v>Traditional</v>
      </c>
      <c r="D99">
        <v>2022</v>
      </c>
      <c r="E99" s="1">
        <v>16844.75</v>
      </c>
      <c r="F99" s="1">
        <v>1008.43</v>
      </c>
      <c r="G99" s="1">
        <v>8086.69</v>
      </c>
      <c r="H99" s="1">
        <v>4592.57</v>
      </c>
      <c r="I99" s="1">
        <v>9.57</v>
      </c>
      <c r="J99" s="3">
        <v>0</v>
      </c>
      <c r="K99" s="3">
        <v>0</v>
      </c>
      <c r="L99" t="s">
        <v>251</v>
      </c>
      <c r="M99" t="s">
        <v>256</v>
      </c>
      <c r="N99" s="8">
        <f t="shared" si="8"/>
        <v>48.007183247005742</v>
      </c>
      <c r="O99" s="7">
        <f t="shared" si="9"/>
        <v>5.986613039671114E-2</v>
      </c>
      <c r="P99" s="7">
        <f t="shared" si="10"/>
        <v>5.681295359088143E-4</v>
      </c>
      <c r="Q99" s="7">
        <f t="shared" si="13"/>
        <v>0.27264103058816541</v>
      </c>
    </row>
    <row r="100" spans="1:17" x14ac:dyDescent="0.3">
      <c r="A100" t="s">
        <v>110</v>
      </c>
      <c r="B100" t="s">
        <v>227</v>
      </c>
      <c r="C100" t="str">
        <f t="shared" si="12"/>
        <v>Traditional</v>
      </c>
      <c r="D100">
        <v>2023</v>
      </c>
      <c r="E100" s="1">
        <v>11051.05</v>
      </c>
      <c r="F100" s="1">
        <v>2499.5100000000002</v>
      </c>
      <c r="G100" s="1">
        <v>10791.87</v>
      </c>
      <c r="H100" s="1">
        <v>531.22</v>
      </c>
      <c r="I100" s="1">
        <v>337.44</v>
      </c>
      <c r="J100" s="3">
        <v>0</v>
      </c>
      <c r="K100" s="3">
        <v>1676</v>
      </c>
      <c r="L100" t="s">
        <v>251</v>
      </c>
      <c r="M100" t="s">
        <v>255</v>
      </c>
      <c r="N100" s="8">
        <f t="shared" si="8"/>
        <v>97.654702494333137</v>
      </c>
      <c r="O100" s="7">
        <f t="shared" si="9"/>
        <v>0.22617850792458638</v>
      </c>
      <c r="P100" s="7">
        <f t="shared" si="10"/>
        <v>3.0534655078024261E-2</v>
      </c>
      <c r="Q100" s="7">
        <f t="shared" si="13"/>
        <v>4.8069640441406027E-2</v>
      </c>
    </row>
    <row r="101" spans="1:17" x14ac:dyDescent="0.3">
      <c r="A101" t="s">
        <v>111</v>
      </c>
      <c r="B101" t="s">
        <v>227</v>
      </c>
      <c r="C101" t="str">
        <f t="shared" si="12"/>
        <v>Traditional</v>
      </c>
      <c r="D101">
        <v>2024</v>
      </c>
      <c r="E101" s="1">
        <v>8169.99</v>
      </c>
      <c r="F101" s="1">
        <v>7841.26</v>
      </c>
      <c r="G101" s="1">
        <v>8267.1299999999992</v>
      </c>
      <c r="H101" s="1">
        <v>5041.5600000000004</v>
      </c>
      <c r="I101" s="1">
        <v>177.26</v>
      </c>
      <c r="J101" s="3">
        <v>0</v>
      </c>
      <c r="K101" s="3">
        <v>1380</v>
      </c>
      <c r="L101" t="s">
        <v>250</v>
      </c>
      <c r="M101" t="s">
        <v>256</v>
      </c>
      <c r="N101" s="8">
        <f t="shared" si="8"/>
        <v>101.18898554343394</v>
      </c>
      <c r="O101" s="7">
        <f t="shared" si="9"/>
        <v>0.95976372064102899</v>
      </c>
      <c r="P101" s="7">
        <f t="shared" si="10"/>
        <v>2.1696476984671951E-2</v>
      </c>
      <c r="Q101" s="7">
        <f t="shared" si="13"/>
        <v>0.61708276264720041</v>
      </c>
    </row>
    <row r="102" spans="1:17" x14ac:dyDescent="0.3">
      <c r="A102" t="s">
        <v>112</v>
      </c>
      <c r="B102" t="s">
        <v>228</v>
      </c>
      <c r="C102" t="str">
        <f t="shared" si="12"/>
        <v>Traditional</v>
      </c>
      <c r="D102">
        <v>2015</v>
      </c>
      <c r="E102" s="1">
        <v>2659.18</v>
      </c>
      <c r="F102" s="1">
        <v>15231.82</v>
      </c>
      <c r="G102" s="1">
        <v>5093.33</v>
      </c>
      <c r="H102" s="1">
        <v>4477.58</v>
      </c>
      <c r="I102" s="1">
        <v>316.76</v>
      </c>
      <c r="J102" s="3">
        <v>6584</v>
      </c>
      <c r="K102" s="3">
        <v>1440</v>
      </c>
      <c r="L102" t="s">
        <v>251</v>
      </c>
      <c r="M102" t="s">
        <v>255</v>
      </c>
      <c r="N102" s="8">
        <f t="shared" si="8"/>
        <v>191.53761685933259</v>
      </c>
      <c r="O102" s="7">
        <f t="shared" si="9"/>
        <v>5.7280138990215033</v>
      </c>
      <c r="P102" s="7">
        <f t="shared" si="10"/>
        <v>0.11911942779353034</v>
      </c>
      <c r="Q102" s="7">
        <f t="shared" si="13"/>
        <v>1.6838198241563189</v>
      </c>
    </row>
    <row r="103" spans="1:17" x14ac:dyDescent="0.3">
      <c r="A103" t="s">
        <v>113</v>
      </c>
      <c r="B103" t="s">
        <v>228</v>
      </c>
      <c r="C103" t="str">
        <f t="shared" si="12"/>
        <v>Traditional</v>
      </c>
      <c r="D103">
        <v>2016</v>
      </c>
      <c r="E103" s="1">
        <v>13499.82</v>
      </c>
      <c r="F103" s="1">
        <v>3651.49</v>
      </c>
      <c r="G103" s="1">
        <v>15591.7</v>
      </c>
      <c r="H103" s="1">
        <v>1862.1</v>
      </c>
      <c r="I103" s="1">
        <v>575.14</v>
      </c>
      <c r="J103" s="3">
        <v>0</v>
      </c>
      <c r="K103" s="3">
        <v>471</v>
      </c>
      <c r="L103" t="s">
        <v>251</v>
      </c>
      <c r="M103" t="s">
        <v>255</v>
      </c>
      <c r="N103" s="8">
        <f t="shared" si="8"/>
        <v>115.4956140155943</v>
      </c>
      <c r="O103" s="7">
        <f t="shared" si="9"/>
        <v>0.2704843471987034</v>
      </c>
      <c r="P103" s="7">
        <f t="shared" si="10"/>
        <v>4.2603531010043098E-2</v>
      </c>
      <c r="Q103" s="7">
        <f t="shared" si="13"/>
        <v>0.13793517246896625</v>
      </c>
    </row>
    <row r="104" spans="1:17" x14ac:dyDescent="0.3">
      <c r="A104" t="s">
        <v>114</v>
      </c>
      <c r="B104" t="s">
        <v>228</v>
      </c>
      <c r="C104" t="str">
        <f t="shared" si="12"/>
        <v>Traditional</v>
      </c>
      <c r="D104">
        <v>2017</v>
      </c>
      <c r="E104" s="1">
        <v>19099.23</v>
      </c>
      <c r="F104" s="1">
        <v>1541.29</v>
      </c>
      <c r="G104" s="1">
        <v>19040.46</v>
      </c>
      <c r="H104" s="1">
        <v>4907.4399999999996</v>
      </c>
      <c r="I104" s="1">
        <v>281.05</v>
      </c>
      <c r="J104" s="3">
        <v>7454</v>
      </c>
      <c r="K104" s="3">
        <v>0</v>
      </c>
      <c r="L104" t="s">
        <v>253</v>
      </c>
      <c r="M104" t="s">
        <v>256</v>
      </c>
      <c r="N104" s="8">
        <f t="shared" si="8"/>
        <v>99.692291259909425</v>
      </c>
      <c r="O104" s="7">
        <f t="shared" si="9"/>
        <v>8.0699064831409428E-2</v>
      </c>
      <c r="P104" s="7">
        <f t="shared" si="10"/>
        <v>1.4715252918573158E-2</v>
      </c>
      <c r="Q104" s="7">
        <f t="shared" si="13"/>
        <v>0.2569443899047239</v>
      </c>
    </row>
    <row r="105" spans="1:17" x14ac:dyDescent="0.3">
      <c r="A105" t="s">
        <v>115</v>
      </c>
      <c r="B105" t="s">
        <v>228</v>
      </c>
      <c r="C105" t="str">
        <f t="shared" si="12"/>
        <v>Traditional</v>
      </c>
      <c r="D105">
        <v>2018</v>
      </c>
      <c r="E105" s="1">
        <v>7919.1</v>
      </c>
      <c r="F105" s="1">
        <v>5089.1899999999996</v>
      </c>
      <c r="G105" s="1">
        <v>1406.59</v>
      </c>
      <c r="H105" s="1">
        <v>3580.71</v>
      </c>
      <c r="I105" s="1">
        <v>189.69</v>
      </c>
      <c r="J105" s="3">
        <v>0</v>
      </c>
      <c r="K105" s="3">
        <v>0</v>
      </c>
      <c r="L105" t="s">
        <v>251</v>
      </c>
      <c r="M105" t="s">
        <v>255</v>
      </c>
      <c r="N105" s="8">
        <f t="shared" si="8"/>
        <v>17.761993155787902</v>
      </c>
      <c r="O105" s="7">
        <f t="shared" si="9"/>
        <v>0.64264752307711726</v>
      </c>
      <c r="P105" s="7">
        <f t="shared" si="10"/>
        <v>2.3953479562071445E-2</v>
      </c>
      <c r="Q105" s="7">
        <f t="shared" si="13"/>
        <v>0.45216123044285333</v>
      </c>
    </row>
    <row r="106" spans="1:17" x14ac:dyDescent="0.3">
      <c r="A106" t="s">
        <v>116</v>
      </c>
      <c r="B106" t="s">
        <v>228</v>
      </c>
      <c r="C106" t="str">
        <f t="shared" si="12"/>
        <v>Traditional</v>
      </c>
      <c r="D106">
        <v>2019</v>
      </c>
      <c r="E106" s="1">
        <v>2712.26</v>
      </c>
      <c r="F106" s="1">
        <v>10774.62</v>
      </c>
      <c r="G106" s="1">
        <v>7874.3</v>
      </c>
      <c r="H106" s="1">
        <v>4383.62</v>
      </c>
      <c r="I106" s="1">
        <v>572.77</v>
      </c>
      <c r="J106" s="3">
        <v>772</v>
      </c>
      <c r="K106" s="3">
        <v>2391</v>
      </c>
      <c r="L106" t="s">
        <v>251</v>
      </c>
      <c r="M106" t="s">
        <v>257</v>
      </c>
      <c r="N106" s="8">
        <f t="shared" si="8"/>
        <v>290.32246171089793</v>
      </c>
      <c r="O106" s="7">
        <f t="shared" si="9"/>
        <v>3.9725616275725777</v>
      </c>
      <c r="P106" s="7">
        <f t="shared" si="10"/>
        <v>0.21117813189001053</v>
      </c>
      <c r="Q106" s="7">
        <f t="shared" si="13"/>
        <v>1.6162241083082003</v>
      </c>
    </row>
    <row r="107" spans="1:17" x14ac:dyDescent="0.3">
      <c r="A107" t="s">
        <v>117</v>
      </c>
      <c r="B107" t="s">
        <v>228</v>
      </c>
      <c r="C107" t="str">
        <f t="shared" si="12"/>
        <v>Traditional</v>
      </c>
      <c r="D107">
        <v>2020</v>
      </c>
      <c r="E107" s="1">
        <v>2015.91</v>
      </c>
      <c r="F107" s="1">
        <v>2042.33</v>
      </c>
      <c r="G107" s="1">
        <v>18012.8</v>
      </c>
      <c r="H107" s="1">
        <v>1777.82</v>
      </c>
      <c r="I107" s="1">
        <v>430.02</v>
      </c>
      <c r="J107" s="3">
        <v>0</v>
      </c>
      <c r="K107" s="3">
        <v>210</v>
      </c>
      <c r="L107" t="s">
        <v>251</v>
      </c>
      <c r="M107" t="s">
        <v>256</v>
      </c>
      <c r="N107" s="8">
        <f t="shared" si="8"/>
        <v>893.53195331140773</v>
      </c>
      <c r="O107" s="7">
        <f t="shared" si="9"/>
        <v>1.0131057438080073</v>
      </c>
      <c r="P107" s="7">
        <f t="shared" si="10"/>
        <v>0.21331309433456849</v>
      </c>
      <c r="Q107" s="7">
        <f t="shared" si="13"/>
        <v>0.88189452902163279</v>
      </c>
    </row>
    <row r="108" spans="1:17" x14ac:dyDescent="0.3">
      <c r="A108" t="s">
        <v>118</v>
      </c>
      <c r="B108" t="s">
        <v>228</v>
      </c>
      <c r="C108" t="str">
        <f t="shared" si="12"/>
        <v>Traditional</v>
      </c>
      <c r="D108">
        <v>2021</v>
      </c>
      <c r="E108" s="1">
        <v>9415.5</v>
      </c>
      <c r="F108" s="1">
        <v>16539.27</v>
      </c>
      <c r="G108" s="1">
        <v>7932.11</v>
      </c>
      <c r="H108" s="1">
        <v>6519.11</v>
      </c>
      <c r="I108" s="1">
        <v>408.94</v>
      </c>
      <c r="J108" s="3">
        <v>957</v>
      </c>
      <c r="K108" s="3">
        <v>0</v>
      </c>
      <c r="L108" t="s">
        <v>250</v>
      </c>
      <c r="M108" t="s">
        <v>257</v>
      </c>
      <c r="N108" s="8">
        <f t="shared" si="8"/>
        <v>84.245233922786895</v>
      </c>
      <c r="O108" s="7">
        <f t="shared" si="9"/>
        <v>1.7566002867611916</v>
      </c>
      <c r="P108" s="7">
        <f t="shared" si="10"/>
        <v>4.3432637671923957E-2</v>
      </c>
      <c r="Q108" s="7">
        <f t="shared" si="13"/>
        <v>0.69238064892995588</v>
      </c>
    </row>
    <row r="109" spans="1:17" x14ac:dyDescent="0.3">
      <c r="A109" t="s">
        <v>119</v>
      </c>
      <c r="B109" t="s">
        <v>228</v>
      </c>
      <c r="C109" t="str">
        <f t="shared" si="12"/>
        <v>Traditional</v>
      </c>
      <c r="D109">
        <v>2022</v>
      </c>
      <c r="E109" s="1">
        <v>18231.47</v>
      </c>
      <c r="F109" s="1">
        <v>11886.84</v>
      </c>
      <c r="G109" s="1">
        <v>18154.95</v>
      </c>
      <c r="H109" s="1">
        <v>7606.08</v>
      </c>
      <c r="I109" s="1">
        <v>203.35</v>
      </c>
      <c r="J109" s="3">
        <v>2417</v>
      </c>
      <c r="K109" s="3">
        <v>0</v>
      </c>
      <c r="L109" t="s">
        <v>253</v>
      </c>
      <c r="M109" t="s">
        <v>257</v>
      </c>
      <c r="N109" s="8">
        <f t="shared" si="8"/>
        <v>99.580286175497648</v>
      </c>
      <c r="O109" s="7">
        <f t="shared" si="9"/>
        <v>0.65199569754934739</v>
      </c>
      <c r="P109" s="7">
        <f t="shared" si="10"/>
        <v>1.115379067074679E-2</v>
      </c>
      <c r="Q109" s="7">
        <f t="shared" si="13"/>
        <v>0.41719510275364519</v>
      </c>
    </row>
    <row r="110" spans="1:17" x14ac:dyDescent="0.3">
      <c r="A110" t="s">
        <v>120</v>
      </c>
      <c r="B110" t="s">
        <v>228</v>
      </c>
      <c r="C110" t="str">
        <f t="shared" si="12"/>
        <v>Traditional</v>
      </c>
      <c r="D110">
        <v>2023</v>
      </c>
      <c r="E110" s="1">
        <v>14193.59</v>
      </c>
      <c r="F110" s="1">
        <v>11654.18</v>
      </c>
      <c r="G110" s="1">
        <v>6770.99</v>
      </c>
      <c r="H110" s="1">
        <v>-594.27</v>
      </c>
      <c r="I110" s="1">
        <v>423.18</v>
      </c>
      <c r="J110" s="3">
        <v>0</v>
      </c>
      <c r="K110" s="3">
        <v>0</v>
      </c>
      <c r="L110" t="s">
        <v>250</v>
      </c>
      <c r="M110" t="s">
        <v>256</v>
      </c>
      <c r="N110" s="8">
        <f t="shared" si="8"/>
        <v>47.704562411623833</v>
      </c>
      <c r="O110" s="7">
        <f t="shared" si="9"/>
        <v>0.8210875472660546</v>
      </c>
      <c r="P110" s="7">
        <f t="shared" si="10"/>
        <v>2.9814867133684995E-2</v>
      </c>
      <c r="Q110" s="7">
        <f t="shared" si="13"/>
        <v>-4.1868899975270525E-2</v>
      </c>
    </row>
    <row r="111" spans="1:17" x14ac:dyDescent="0.3">
      <c r="A111" t="s">
        <v>121</v>
      </c>
      <c r="B111" t="s">
        <v>228</v>
      </c>
      <c r="C111" t="str">
        <f t="shared" si="12"/>
        <v>Traditional</v>
      </c>
      <c r="D111">
        <v>2024</v>
      </c>
      <c r="E111" s="1">
        <v>23803.65</v>
      </c>
      <c r="F111" s="1">
        <v>6282.84</v>
      </c>
      <c r="G111" s="1">
        <v>15393.28</v>
      </c>
      <c r="H111" s="1">
        <v>112.06</v>
      </c>
      <c r="I111" s="1">
        <v>599.99</v>
      </c>
      <c r="J111" s="3">
        <v>0</v>
      </c>
      <c r="K111" s="3">
        <v>1261</v>
      </c>
      <c r="L111" t="s">
        <v>250</v>
      </c>
      <c r="M111" t="s">
        <v>257</v>
      </c>
      <c r="N111" s="8">
        <f t="shared" si="8"/>
        <v>64.667729528874773</v>
      </c>
      <c r="O111" s="7">
        <f t="shared" si="9"/>
        <v>0.2639443950822668</v>
      </c>
      <c r="P111" s="7">
        <f t="shared" si="10"/>
        <v>2.5205798270433316E-2</v>
      </c>
      <c r="Q111" s="7">
        <f t="shared" si="13"/>
        <v>4.7076813849976787E-3</v>
      </c>
    </row>
    <row r="112" spans="1:17" x14ac:dyDescent="0.3">
      <c r="A112" t="s">
        <v>122</v>
      </c>
      <c r="B112" t="s">
        <v>230</v>
      </c>
      <c r="C112" t="str">
        <f t="shared" si="12"/>
        <v>Traditional</v>
      </c>
      <c r="D112">
        <v>2015</v>
      </c>
      <c r="E112" s="1">
        <v>1424.81</v>
      </c>
      <c r="F112" s="1">
        <v>6194.41</v>
      </c>
      <c r="G112" s="1">
        <v>15396.26</v>
      </c>
      <c r="H112" s="1">
        <v>-558.46</v>
      </c>
      <c r="I112" s="1">
        <v>229.15</v>
      </c>
      <c r="J112" s="3">
        <v>0</v>
      </c>
      <c r="K112" s="3">
        <v>2887</v>
      </c>
      <c r="L112" t="s">
        <v>251</v>
      </c>
      <c r="M112" t="s">
        <v>255</v>
      </c>
      <c r="N112" s="8">
        <f t="shared" si="8"/>
        <v>1080.5833760290848</v>
      </c>
      <c r="O112" s="7">
        <f t="shared" si="9"/>
        <v>4.3475340571725356</v>
      </c>
      <c r="P112" s="7">
        <f t="shared" si="10"/>
        <v>0.16082846133870482</v>
      </c>
      <c r="Q112" s="7">
        <f t="shared" si="13"/>
        <v>-0.39195401492128779</v>
      </c>
    </row>
    <row r="113" spans="1:17" x14ac:dyDescent="0.3">
      <c r="A113" t="s">
        <v>123</v>
      </c>
      <c r="B113" t="s">
        <v>230</v>
      </c>
      <c r="C113" t="str">
        <f t="shared" si="12"/>
        <v>Traditional</v>
      </c>
      <c r="D113">
        <v>2016</v>
      </c>
      <c r="E113" s="1">
        <v>6319.49</v>
      </c>
      <c r="F113" s="1">
        <v>8106.74</v>
      </c>
      <c r="G113" s="1">
        <v>5913.08</v>
      </c>
      <c r="H113" s="1">
        <v>6233.9</v>
      </c>
      <c r="I113" s="1">
        <v>272.11</v>
      </c>
      <c r="J113" s="3">
        <v>0</v>
      </c>
      <c r="K113" s="3">
        <v>0</v>
      </c>
      <c r="L113" t="s">
        <v>253</v>
      </c>
      <c r="M113" t="s">
        <v>256</v>
      </c>
      <c r="N113" s="8">
        <f t="shared" si="8"/>
        <v>93.568943063443413</v>
      </c>
      <c r="O113" s="7">
        <f t="shared" si="9"/>
        <v>1.2828155436593776</v>
      </c>
      <c r="P113" s="7">
        <f t="shared" si="10"/>
        <v>4.3058854432873543E-2</v>
      </c>
      <c r="Q113" s="7">
        <f t="shared" si="13"/>
        <v>0.9864561855466184</v>
      </c>
    </row>
    <row r="114" spans="1:17" x14ac:dyDescent="0.3">
      <c r="A114" t="s">
        <v>124</v>
      </c>
      <c r="B114" t="s">
        <v>230</v>
      </c>
      <c r="C114" t="str">
        <f t="shared" si="12"/>
        <v>Traditional</v>
      </c>
      <c r="D114">
        <v>2017</v>
      </c>
      <c r="E114" s="1">
        <v>11294.64</v>
      </c>
      <c r="F114" s="1">
        <v>13896.01</v>
      </c>
      <c r="G114" s="1">
        <v>15629.04</v>
      </c>
      <c r="H114" s="1">
        <v>3531.97</v>
      </c>
      <c r="I114" s="1">
        <v>254.1</v>
      </c>
      <c r="J114" s="3">
        <v>0</v>
      </c>
      <c r="K114" s="3">
        <v>2526</v>
      </c>
      <c r="L114" t="s">
        <v>251</v>
      </c>
      <c r="M114" t="s">
        <v>255</v>
      </c>
      <c r="N114" s="8">
        <f t="shared" si="8"/>
        <v>138.37572512271311</v>
      </c>
      <c r="O114" s="7">
        <f t="shared" si="9"/>
        <v>1.2303189831636954</v>
      </c>
      <c r="P114" s="7">
        <f t="shared" si="10"/>
        <v>2.2497396995388965E-2</v>
      </c>
      <c r="Q114" s="7">
        <f t="shared" si="13"/>
        <v>0.31271204748447051</v>
      </c>
    </row>
    <row r="115" spans="1:17" x14ac:dyDescent="0.3">
      <c r="A115" t="s">
        <v>125</v>
      </c>
      <c r="B115" t="s">
        <v>230</v>
      </c>
      <c r="C115" t="str">
        <f t="shared" si="12"/>
        <v>Traditional</v>
      </c>
      <c r="D115">
        <v>2018</v>
      </c>
      <c r="E115" s="1">
        <v>14086.25</v>
      </c>
      <c r="F115" s="1">
        <v>2026.1</v>
      </c>
      <c r="G115" s="1">
        <v>16964.080000000002</v>
      </c>
      <c r="H115" s="1">
        <v>7362.83</v>
      </c>
      <c r="I115" s="1">
        <v>174.61</v>
      </c>
      <c r="J115" s="3">
        <v>2726</v>
      </c>
      <c r="K115" s="3">
        <v>1890</v>
      </c>
      <c r="L115" t="s">
        <v>251</v>
      </c>
      <c r="M115" t="s">
        <v>255</v>
      </c>
      <c r="N115" s="8">
        <f t="shared" si="8"/>
        <v>120.43006477948354</v>
      </c>
      <c r="O115" s="7">
        <f t="shared" si="9"/>
        <v>0.14383530038157777</v>
      </c>
      <c r="P115" s="7">
        <f t="shared" si="10"/>
        <v>1.239577602271719E-2</v>
      </c>
      <c r="Q115" s="7">
        <f t="shared" si="13"/>
        <v>0.5226962463395155</v>
      </c>
    </row>
    <row r="116" spans="1:17" x14ac:dyDescent="0.3">
      <c r="A116" t="s">
        <v>126</v>
      </c>
      <c r="B116" t="s">
        <v>230</v>
      </c>
      <c r="C116" t="str">
        <f t="shared" si="12"/>
        <v>Traditional</v>
      </c>
      <c r="D116">
        <v>2019</v>
      </c>
      <c r="E116" s="1">
        <v>11552.64</v>
      </c>
      <c r="F116" s="1">
        <v>6422.61</v>
      </c>
      <c r="G116" s="1">
        <v>825.4</v>
      </c>
      <c r="H116" s="1">
        <v>-1414.17</v>
      </c>
      <c r="I116" s="1">
        <v>303.69</v>
      </c>
      <c r="J116" s="3">
        <v>3962</v>
      </c>
      <c r="K116" s="3">
        <v>0</v>
      </c>
      <c r="L116" t="s">
        <v>253</v>
      </c>
      <c r="M116" t="s">
        <v>255</v>
      </c>
      <c r="N116" s="8">
        <f t="shared" si="8"/>
        <v>7.144687274943216</v>
      </c>
      <c r="O116" s="7">
        <f t="shared" si="9"/>
        <v>0.55594305717134784</v>
      </c>
      <c r="P116" s="7">
        <f t="shared" si="10"/>
        <v>2.6287497922552767E-2</v>
      </c>
      <c r="Q116" s="7">
        <f t="shared" si="13"/>
        <v>-0.1224109813860728</v>
      </c>
    </row>
    <row r="117" spans="1:17" x14ac:dyDescent="0.3">
      <c r="A117" t="s">
        <v>127</v>
      </c>
      <c r="B117" t="s">
        <v>230</v>
      </c>
      <c r="C117" t="str">
        <f t="shared" si="12"/>
        <v>Traditional</v>
      </c>
      <c r="D117">
        <v>2020</v>
      </c>
      <c r="E117" s="1">
        <v>18010.25</v>
      </c>
      <c r="F117" s="1">
        <v>6168.17</v>
      </c>
      <c r="G117" s="1">
        <v>3177.17</v>
      </c>
      <c r="H117" s="1">
        <v>-1578.66</v>
      </c>
      <c r="I117" s="1">
        <v>550.85</v>
      </c>
      <c r="J117" s="3">
        <v>0</v>
      </c>
      <c r="K117" s="3">
        <v>0</v>
      </c>
      <c r="L117" t="s">
        <v>251</v>
      </c>
      <c r="M117" t="s">
        <v>257</v>
      </c>
      <c r="N117" s="8">
        <f t="shared" si="8"/>
        <v>17.640898932552297</v>
      </c>
      <c r="O117" s="7">
        <f t="shared" si="9"/>
        <v>0.34248108715870129</v>
      </c>
      <c r="P117" s="7">
        <f t="shared" si="10"/>
        <v>3.0585361113810192E-2</v>
      </c>
      <c r="Q117" s="7">
        <f t="shared" si="13"/>
        <v>-8.7653419580516659E-2</v>
      </c>
    </row>
    <row r="118" spans="1:17" x14ac:dyDescent="0.3">
      <c r="A118" t="s">
        <v>128</v>
      </c>
      <c r="B118" t="s">
        <v>230</v>
      </c>
      <c r="C118" t="str">
        <f t="shared" si="12"/>
        <v>Traditional</v>
      </c>
      <c r="D118">
        <v>2021</v>
      </c>
      <c r="E118" s="1">
        <v>6770.14</v>
      </c>
      <c r="F118" s="1">
        <v>15062.34</v>
      </c>
      <c r="G118" s="1">
        <v>11111.44</v>
      </c>
      <c r="H118" s="1">
        <v>5999.58</v>
      </c>
      <c r="I118" s="1">
        <v>319.02</v>
      </c>
      <c r="J118" s="3">
        <v>1921</v>
      </c>
      <c r="K118" s="3">
        <v>0</v>
      </c>
      <c r="L118" t="s">
        <v>250</v>
      </c>
      <c r="M118" t="s">
        <v>255</v>
      </c>
      <c r="N118" s="8">
        <f t="shared" si="8"/>
        <v>164.12422785939432</v>
      </c>
      <c r="O118" s="7">
        <f t="shared" si="9"/>
        <v>2.2248195753706717</v>
      </c>
      <c r="P118" s="7">
        <f t="shared" si="10"/>
        <v>4.712162525442605E-2</v>
      </c>
      <c r="Q118" s="7">
        <f t="shared" si="13"/>
        <v>0.88618256047880839</v>
      </c>
    </row>
    <row r="119" spans="1:17" x14ac:dyDescent="0.3">
      <c r="A119" t="s">
        <v>129</v>
      </c>
      <c r="B119" t="s">
        <v>230</v>
      </c>
      <c r="C119" t="str">
        <f t="shared" si="12"/>
        <v>Traditional</v>
      </c>
      <c r="D119">
        <v>2022</v>
      </c>
      <c r="E119" s="1">
        <v>15758.86</v>
      </c>
      <c r="F119" s="1">
        <v>1317.97</v>
      </c>
      <c r="G119" s="1">
        <v>16782.75</v>
      </c>
      <c r="H119" s="1">
        <v>3498.12</v>
      </c>
      <c r="I119" s="1">
        <v>323.95</v>
      </c>
      <c r="J119" s="3">
        <v>0</v>
      </c>
      <c r="K119" s="3">
        <v>2993</v>
      </c>
      <c r="L119" t="s">
        <v>251</v>
      </c>
      <c r="M119" t="s">
        <v>256</v>
      </c>
      <c r="N119" s="8">
        <f t="shared" si="8"/>
        <v>106.49723393697259</v>
      </c>
      <c r="O119" s="7">
        <f t="shared" si="9"/>
        <v>8.3633587708755577E-2</v>
      </c>
      <c r="P119" s="7">
        <f t="shared" si="10"/>
        <v>2.0556690014379212E-2</v>
      </c>
      <c r="Q119" s="7">
        <f t="shared" si="13"/>
        <v>0.22197798571724095</v>
      </c>
    </row>
    <row r="120" spans="1:17" x14ac:dyDescent="0.3">
      <c r="A120" t="s">
        <v>130</v>
      </c>
      <c r="B120" t="s">
        <v>230</v>
      </c>
      <c r="C120" t="str">
        <f t="shared" si="12"/>
        <v>Traditional</v>
      </c>
      <c r="D120">
        <v>2023</v>
      </c>
      <c r="E120" s="1">
        <v>14481.26</v>
      </c>
      <c r="F120" s="1">
        <v>3534.19</v>
      </c>
      <c r="G120" s="1">
        <v>13463.83</v>
      </c>
      <c r="H120" s="1">
        <v>3758.33</v>
      </c>
      <c r="I120" s="1">
        <v>219.56</v>
      </c>
      <c r="J120" s="3">
        <v>0</v>
      </c>
      <c r="K120" s="3">
        <v>0</v>
      </c>
      <c r="L120" t="s">
        <v>250</v>
      </c>
      <c r="M120" t="s">
        <v>257</v>
      </c>
      <c r="N120" s="8">
        <f t="shared" si="8"/>
        <v>92.974161088192602</v>
      </c>
      <c r="O120" s="7">
        <f t="shared" si="9"/>
        <v>0.24405265840127172</v>
      </c>
      <c r="P120" s="7">
        <f t="shared" si="10"/>
        <v>1.5161664109338552E-2</v>
      </c>
      <c r="Q120" s="7">
        <f t="shared" si="13"/>
        <v>0.25953059333234813</v>
      </c>
    </row>
    <row r="121" spans="1:17" x14ac:dyDescent="0.3">
      <c r="A121" t="s">
        <v>131</v>
      </c>
      <c r="B121" t="s">
        <v>230</v>
      </c>
      <c r="C121" t="str">
        <f t="shared" si="12"/>
        <v>Traditional</v>
      </c>
      <c r="D121">
        <v>2024</v>
      </c>
      <c r="E121" s="1">
        <v>18809.259999999998</v>
      </c>
      <c r="F121" s="1">
        <v>6556.27</v>
      </c>
      <c r="G121" s="1">
        <v>1630.92</v>
      </c>
      <c r="H121" s="1">
        <v>652.39</v>
      </c>
      <c r="I121" s="1">
        <v>395.98</v>
      </c>
      <c r="J121" s="3">
        <v>1798</v>
      </c>
      <c r="K121" s="3">
        <v>596</v>
      </c>
      <c r="L121" t="s">
        <v>251</v>
      </c>
      <c r="M121" t="s">
        <v>257</v>
      </c>
      <c r="N121" s="8">
        <f t="shared" si="8"/>
        <v>8.6708355352629507</v>
      </c>
      <c r="O121" s="7">
        <f t="shared" si="9"/>
        <v>0.34856607862297617</v>
      </c>
      <c r="P121" s="7">
        <f t="shared" si="10"/>
        <v>2.1052396532346303E-2</v>
      </c>
      <c r="Q121" s="7">
        <f t="shared" si="13"/>
        <v>3.4684511777709495E-2</v>
      </c>
    </row>
    <row r="122" spans="1:17" x14ac:dyDescent="0.3">
      <c r="A122" t="s">
        <v>132</v>
      </c>
      <c r="B122" t="s">
        <v>232</v>
      </c>
      <c r="C122" t="str">
        <f t="shared" si="12"/>
        <v>Traditional</v>
      </c>
      <c r="D122">
        <v>2015</v>
      </c>
      <c r="E122" s="1">
        <v>20844.400000000001</v>
      </c>
      <c r="F122" s="1">
        <v>12387.35</v>
      </c>
      <c r="G122" s="1">
        <v>19622.14</v>
      </c>
      <c r="H122" s="1">
        <v>3263.84</v>
      </c>
      <c r="I122" s="1">
        <v>113.46</v>
      </c>
      <c r="J122" s="3">
        <v>0</v>
      </c>
      <c r="K122" s="3">
        <v>0</v>
      </c>
      <c r="L122" t="s">
        <v>250</v>
      </c>
      <c r="M122" t="s">
        <v>256</v>
      </c>
      <c r="N122" s="8">
        <f t="shared" si="8"/>
        <v>94.136266815067827</v>
      </c>
      <c r="O122" s="7">
        <f t="shared" si="9"/>
        <v>0.59427711999385924</v>
      </c>
      <c r="P122" s="7">
        <f t="shared" si="10"/>
        <v>5.4431885782272446E-3</v>
      </c>
      <c r="Q122" s="7">
        <f t="shared" si="13"/>
        <v>0.15658114409625606</v>
      </c>
    </row>
    <row r="123" spans="1:17" x14ac:dyDescent="0.3">
      <c r="A123" t="s">
        <v>133</v>
      </c>
      <c r="B123" t="s">
        <v>232</v>
      </c>
      <c r="C123" t="str">
        <f t="shared" si="12"/>
        <v>Traditional</v>
      </c>
      <c r="D123">
        <v>2016</v>
      </c>
      <c r="E123" s="1">
        <v>22201.86</v>
      </c>
      <c r="F123" s="1">
        <v>5817.61</v>
      </c>
      <c r="G123" s="1">
        <v>6408.49</v>
      </c>
      <c r="H123" s="1">
        <v>2380.46</v>
      </c>
      <c r="I123" s="1">
        <v>490.17</v>
      </c>
      <c r="J123" s="3">
        <v>7856</v>
      </c>
      <c r="K123" s="3">
        <v>199</v>
      </c>
      <c r="L123" t="s">
        <v>251</v>
      </c>
      <c r="M123" t="s">
        <v>256</v>
      </c>
      <c r="N123" s="8">
        <f t="shared" si="8"/>
        <v>28.864653682168967</v>
      </c>
      <c r="O123" s="7">
        <f t="shared" si="9"/>
        <v>0.2620325504259553</v>
      </c>
      <c r="P123" s="7">
        <f t="shared" si="10"/>
        <v>2.2077879961408638E-2</v>
      </c>
      <c r="Q123" s="7">
        <f t="shared" si="13"/>
        <v>0.10721894471904606</v>
      </c>
    </row>
    <row r="124" spans="1:17" x14ac:dyDescent="0.3">
      <c r="A124" t="s">
        <v>134</v>
      </c>
      <c r="B124" t="s">
        <v>232</v>
      </c>
      <c r="C124" t="str">
        <f t="shared" si="12"/>
        <v>Traditional</v>
      </c>
      <c r="D124">
        <v>2017</v>
      </c>
      <c r="E124" s="1">
        <v>16565.419999999998</v>
      </c>
      <c r="F124" s="1">
        <v>5063.26</v>
      </c>
      <c r="G124" s="1">
        <v>16047.05</v>
      </c>
      <c r="H124" s="1">
        <v>2806.47</v>
      </c>
      <c r="I124" s="1">
        <v>243.01</v>
      </c>
      <c r="J124" s="3">
        <v>7304</v>
      </c>
      <c r="K124" s="3">
        <v>1438</v>
      </c>
      <c r="L124" t="s">
        <v>251</v>
      </c>
      <c r="M124" t="s">
        <v>257</v>
      </c>
      <c r="N124" s="8">
        <f t="shared" si="8"/>
        <v>96.870770556979551</v>
      </c>
      <c r="O124" s="7">
        <f t="shared" si="9"/>
        <v>0.30565237706016513</v>
      </c>
      <c r="P124" s="7">
        <f t="shared" si="10"/>
        <v>1.4669715588255536E-2</v>
      </c>
      <c r="Q124" s="7">
        <f t="shared" si="13"/>
        <v>0.16941737667985479</v>
      </c>
    </row>
    <row r="125" spans="1:17" x14ac:dyDescent="0.3">
      <c r="A125" t="s">
        <v>135</v>
      </c>
      <c r="B125" t="s">
        <v>232</v>
      </c>
      <c r="C125" t="str">
        <f t="shared" si="12"/>
        <v>Traditional</v>
      </c>
      <c r="D125">
        <v>2018</v>
      </c>
      <c r="E125" s="1">
        <v>13222.26</v>
      </c>
      <c r="F125" s="1">
        <v>14460.44</v>
      </c>
      <c r="G125" s="1">
        <v>14623.5</v>
      </c>
      <c r="H125" s="1">
        <v>-1131.8</v>
      </c>
      <c r="I125" s="1">
        <v>363.46</v>
      </c>
      <c r="J125" s="3">
        <v>3056</v>
      </c>
      <c r="K125" s="3">
        <v>1365</v>
      </c>
      <c r="L125" t="s">
        <v>250</v>
      </c>
      <c r="M125" t="s">
        <v>256</v>
      </c>
      <c r="N125" s="8">
        <f t="shared" si="8"/>
        <v>110.59758316656909</v>
      </c>
      <c r="O125" s="7">
        <f t="shared" si="9"/>
        <v>1.0936435979930814</v>
      </c>
      <c r="P125" s="7">
        <f t="shared" si="10"/>
        <v>2.7488492890020311E-2</v>
      </c>
      <c r="Q125" s="7">
        <f t="shared" si="13"/>
        <v>-8.55980747618032E-2</v>
      </c>
    </row>
    <row r="126" spans="1:17" x14ac:dyDescent="0.3">
      <c r="A126" t="s">
        <v>136</v>
      </c>
      <c r="B126" t="s">
        <v>232</v>
      </c>
      <c r="C126" t="str">
        <f t="shared" si="12"/>
        <v>Traditional</v>
      </c>
      <c r="D126">
        <v>2019</v>
      </c>
      <c r="E126" s="1">
        <v>15264.23</v>
      </c>
      <c r="F126" s="1">
        <v>7784.87</v>
      </c>
      <c r="G126" s="1">
        <v>13888.37</v>
      </c>
      <c r="H126" s="1">
        <v>1867.02</v>
      </c>
      <c r="I126" s="1">
        <v>30.2</v>
      </c>
      <c r="J126" s="3">
        <v>5876</v>
      </c>
      <c r="K126" s="3">
        <v>1174</v>
      </c>
      <c r="L126" t="s">
        <v>250</v>
      </c>
      <c r="M126" t="s">
        <v>257</v>
      </c>
      <c r="N126" s="8">
        <f t="shared" si="8"/>
        <v>90.986377956831106</v>
      </c>
      <c r="O126" s="7">
        <f t="shared" si="9"/>
        <v>0.51000738327449202</v>
      </c>
      <c r="P126" s="7">
        <f t="shared" si="10"/>
        <v>1.978481718370334E-3</v>
      </c>
      <c r="Q126" s="7">
        <f t="shared" si="13"/>
        <v>0.12231340853747619</v>
      </c>
    </row>
    <row r="127" spans="1:17" x14ac:dyDescent="0.3">
      <c r="A127" t="s">
        <v>137</v>
      </c>
      <c r="B127" t="s">
        <v>232</v>
      </c>
      <c r="C127" t="str">
        <f t="shared" si="12"/>
        <v>Traditional</v>
      </c>
      <c r="D127">
        <v>2020</v>
      </c>
      <c r="E127" s="1">
        <v>20126.849999999999</v>
      </c>
      <c r="F127" s="1">
        <v>12293.51</v>
      </c>
      <c r="G127" s="1">
        <v>19069.95</v>
      </c>
      <c r="H127" s="1">
        <v>-429.43</v>
      </c>
      <c r="I127" s="1">
        <v>366.51</v>
      </c>
      <c r="J127" s="3">
        <v>0</v>
      </c>
      <c r="K127" s="3">
        <v>567</v>
      </c>
      <c r="L127" t="s">
        <v>253</v>
      </c>
      <c r="M127" t="s">
        <v>257</v>
      </c>
      <c r="N127" s="8">
        <f t="shared" si="8"/>
        <v>94.748805699848717</v>
      </c>
      <c r="O127" s="7">
        <f t="shared" si="9"/>
        <v>0.61080149153990815</v>
      </c>
      <c r="P127" s="7">
        <f t="shared" si="10"/>
        <v>1.8210003055619733E-2</v>
      </c>
      <c r="Q127" s="7">
        <f t="shared" si="13"/>
        <v>-2.1336175308108326E-2</v>
      </c>
    </row>
    <row r="128" spans="1:17" x14ac:dyDescent="0.3">
      <c r="A128" t="s">
        <v>138</v>
      </c>
      <c r="B128" t="s">
        <v>232</v>
      </c>
      <c r="C128" t="str">
        <f t="shared" si="12"/>
        <v>Traditional</v>
      </c>
      <c r="D128">
        <v>2021</v>
      </c>
      <c r="E128" s="1">
        <v>14397.49</v>
      </c>
      <c r="F128" s="1">
        <v>10970.69</v>
      </c>
      <c r="G128" s="1">
        <v>13677.52</v>
      </c>
      <c r="H128" s="1">
        <v>8437.06</v>
      </c>
      <c r="I128" s="1">
        <v>226.35</v>
      </c>
      <c r="J128" s="3">
        <v>0</v>
      </c>
      <c r="K128" s="3">
        <v>0</v>
      </c>
      <c r="L128" t="s">
        <v>251</v>
      </c>
      <c r="M128" t="s">
        <v>256</v>
      </c>
      <c r="N128" s="8">
        <f t="shared" si="8"/>
        <v>94.999336689936925</v>
      </c>
      <c r="O128" s="7">
        <f t="shared" si="9"/>
        <v>0.76198629066594248</v>
      </c>
      <c r="P128" s="7">
        <f t="shared" si="10"/>
        <v>1.5721490343108418E-2</v>
      </c>
      <c r="Q128" s="7">
        <f t="shared" si="13"/>
        <v>0.58600908908427785</v>
      </c>
    </row>
    <row r="129" spans="1:17" x14ac:dyDescent="0.3">
      <c r="A129" t="s">
        <v>139</v>
      </c>
      <c r="B129" t="s">
        <v>232</v>
      </c>
      <c r="C129" t="str">
        <f t="shared" si="12"/>
        <v>Traditional</v>
      </c>
      <c r="D129">
        <v>2022</v>
      </c>
      <c r="E129" s="1">
        <v>3279.49</v>
      </c>
      <c r="F129" s="1">
        <v>13295.01</v>
      </c>
      <c r="G129" s="1">
        <v>10131.17</v>
      </c>
      <c r="H129" s="1">
        <v>2256.86</v>
      </c>
      <c r="I129" s="1">
        <v>339.2</v>
      </c>
      <c r="J129" s="3">
        <v>4388</v>
      </c>
      <c r="K129" s="3">
        <v>0</v>
      </c>
      <c r="L129" t="s">
        <v>253</v>
      </c>
      <c r="M129" t="s">
        <v>257</v>
      </c>
      <c r="N129" s="8">
        <f t="shared" si="8"/>
        <v>308.9251682426231</v>
      </c>
      <c r="O129" s="7">
        <f t="shared" si="9"/>
        <v>4.0539870528649278</v>
      </c>
      <c r="P129" s="7">
        <f t="shared" si="10"/>
        <v>0.10343071636138547</v>
      </c>
      <c r="Q129" s="7">
        <f t="shared" si="13"/>
        <v>0.68817407584715928</v>
      </c>
    </row>
    <row r="130" spans="1:17" x14ac:dyDescent="0.3">
      <c r="A130" t="s">
        <v>140</v>
      </c>
      <c r="B130" t="s">
        <v>232</v>
      </c>
      <c r="C130" t="str">
        <f t="shared" ref="C130:C161" si="14">IF(OR(B130="Atom Bank",B130="Monzo Bank",B130="Starling bank",B130="Revolut UK"),"Digital","Traditional")</f>
        <v>Traditional</v>
      </c>
      <c r="D130">
        <v>2023</v>
      </c>
      <c r="E130" s="1">
        <v>12534.4</v>
      </c>
      <c r="F130" s="1">
        <v>2382.9499999999998</v>
      </c>
      <c r="G130" s="1">
        <v>17100.68</v>
      </c>
      <c r="H130" s="1">
        <v>2972.47</v>
      </c>
      <c r="I130" s="1">
        <v>539.71</v>
      </c>
      <c r="J130" s="3">
        <v>0</v>
      </c>
      <c r="K130" s="3">
        <v>0</v>
      </c>
      <c r="L130" t="s">
        <v>251</v>
      </c>
      <c r="M130" t="s">
        <v>257</v>
      </c>
      <c r="N130" s="8">
        <f t="shared" ref="N130:N193" si="15">G130/E130*100</f>
        <v>136.42998468215472</v>
      </c>
      <c r="O130" s="7">
        <f t="shared" ref="O130:O193" si="16">F130/E130</f>
        <v>0.19011280954812357</v>
      </c>
      <c r="P130" s="7">
        <f t="shared" ref="P130:P193" si="17">I130/E130</f>
        <v>4.3058303548634165E-2</v>
      </c>
      <c r="Q130" s="7">
        <f t="shared" ref="Q130:Q161" si="18">H130/E130</f>
        <v>0.23714497702323206</v>
      </c>
    </row>
    <row r="131" spans="1:17" x14ac:dyDescent="0.3">
      <c r="A131" t="s">
        <v>141</v>
      </c>
      <c r="B131" t="s">
        <v>232</v>
      </c>
      <c r="C131" t="str">
        <f t="shared" si="14"/>
        <v>Traditional</v>
      </c>
      <c r="D131">
        <v>2024</v>
      </c>
      <c r="E131" s="1">
        <v>22337.63</v>
      </c>
      <c r="F131" s="1">
        <v>15354.24</v>
      </c>
      <c r="G131" s="1">
        <v>14322.64</v>
      </c>
      <c r="H131" s="1">
        <v>8200.57</v>
      </c>
      <c r="I131" s="1">
        <v>384.43</v>
      </c>
      <c r="J131" s="3">
        <v>0</v>
      </c>
      <c r="K131" s="3">
        <v>547</v>
      </c>
      <c r="L131" t="s">
        <v>253</v>
      </c>
      <c r="M131" t="s">
        <v>255</v>
      </c>
      <c r="N131" s="8">
        <f t="shared" si="15"/>
        <v>64.118888172111355</v>
      </c>
      <c r="O131" s="7">
        <f t="shared" si="16"/>
        <v>0.68737104160110085</v>
      </c>
      <c r="P131" s="7">
        <f t="shared" si="17"/>
        <v>1.7209972588855666E-2</v>
      </c>
      <c r="Q131" s="7">
        <f t="shared" si="18"/>
        <v>0.36711907216656375</v>
      </c>
    </row>
    <row r="132" spans="1:17" x14ac:dyDescent="0.3">
      <c r="A132" t="s">
        <v>142</v>
      </c>
      <c r="B132" t="s">
        <v>234</v>
      </c>
      <c r="C132" t="str">
        <f t="shared" si="14"/>
        <v>Traditional</v>
      </c>
      <c r="D132">
        <v>2015</v>
      </c>
      <c r="E132" s="1">
        <v>14073.53</v>
      </c>
      <c r="F132" s="1">
        <v>6766.62</v>
      </c>
      <c r="G132" s="1">
        <v>16132.14</v>
      </c>
      <c r="H132" s="1">
        <v>4068.12</v>
      </c>
      <c r="I132" s="1">
        <v>369.11</v>
      </c>
      <c r="J132" s="3">
        <v>0</v>
      </c>
      <c r="K132" s="3">
        <v>0</v>
      </c>
      <c r="L132" t="s">
        <v>251</v>
      </c>
      <c r="M132" t="s">
        <v>257</v>
      </c>
      <c r="N132" s="8">
        <f t="shared" si="15"/>
        <v>114.62753125903735</v>
      </c>
      <c r="O132" s="7">
        <f t="shared" si="16"/>
        <v>0.48080474479395002</v>
      </c>
      <c r="P132" s="7">
        <f t="shared" si="17"/>
        <v>2.6227250732403312E-2</v>
      </c>
      <c r="Q132" s="7">
        <f t="shared" si="18"/>
        <v>0.28906180609982002</v>
      </c>
    </row>
    <row r="133" spans="1:17" x14ac:dyDescent="0.3">
      <c r="A133" t="s">
        <v>143</v>
      </c>
      <c r="B133" t="s">
        <v>234</v>
      </c>
      <c r="C133" t="str">
        <f t="shared" si="14"/>
        <v>Traditional</v>
      </c>
      <c r="D133">
        <v>2016</v>
      </c>
      <c r="E133" s="1">
        <v>14585.06</v>
      </c>
      <c r="F133" s="1">
        <v>2430.8200000000002</v>
      </c>
      <c r="G133" s="1">
        <v>6545.45</v>
      </c>
      <c r="H133" s="1">
        <v>-1184.18</v>
      </c>
      <c r="I133" s="1">
        <v>282.17</v>
      </c>
      <c r="J133" s="3">
        <v>8576</v>
      </c>
      <c r="K133" s="3">
        <v>575</v>
      </c>
      <c r="L133" t="s">
        <v>253</v>
      </c>
      <c r="M133" t="s">
        <v>256</v>
      </c>
      <c r="N133" s="8">
        <f t="shared" si="15"/>
        <v>44.877772186058884</v>
      </c>
      <c r="O133" s="7">
        <f t="shared" si="16"/>
        <v>0.16666506685608426</v>
      </c>
      <c r="P133" s="7">
        <f t="shared" si="17"/>
        <v>1.9346509373290206E-2</v>
      </c>
      <c r="Q133" s="7">
        <f t="shared" si="18"/>
        <v>-8.1191301235647995E-2</v>
      </c>
    </row>
    <row r="134" spans="1:17" x14ac:dyDescent="0.3">
      <c r="A134" t="s">
        <v>144</v>
      </c>
      <c r="B134" t="s">
        <v>234</v>
      </c>
      <c r="C134" t="str">
        <f t="shared" si="14"/>
        <v>Traditional</v>
      </c>
      <c r="D134">
        <v>2017</v>
      </c>
      <c r="E134" s="1">
        <v>20869.07</v>
      </c>
      <c r="F134" s="1">
        <v>9422.2199999999993</v>
      </c>
      <c r="G134" s="1">
        <v>6291.25</v>
      </c>
      <c r="H134" s="1">
        <v>-218.36</v>
      </c>
      <c r="I134" s="1">
        <v>561.16999999999996</v>
      </c>
      <c r="J134" s="3">
        <v>3794</v>
      </c>
      <c r="K134" s="3">
        <v>0</v>
      </c>
      <c r="L134" t="s">
        <v>250</v>
      </c>
      <c r="M134" t="s">
        <v>256</v>
      </c>
      <c r="N134" s="8">
        <f t="shared" si="15"/>
        <v>30.146288262965243</v>
      </c>
      <c r="O134" s="7">
        <f t="shared" si="16"/>
        <v>0.45149208853101741</v>
      </c>
      <c r="P134" s="7">
        <f t="shared" si="17"/>
        <v>2.6890033911429689E-2</v>
      </c>
      <c r="Q134" s="7">
        <f t="shared" si="18"/>
        <v>-1.0463331619473222E-2</v>
      </c>
    </row>
    <row r="135" spans="1:17" x14ac:dyDescent="0.3">
      <c r="A135" t="s">
        <v>145</v>
      </c>
      <c r="B135" t="s">
        <v>234</v>
      </c>
      <c r="C135" t="str">
        <f t="shared" si="14"/>
        <v>Traditional</v>
      </c>
      <c r="D135">
        <v>2018</v>
      </c>
      <c r="E135" s="1">
        <v>7224.05</v>
      </c>
      <c r="F135" s="1">
        <v>11325.4</v>
      </c>
      <c r="G135" s="1">
        <v>12404.24</v>
      </c>
      <c r="H135" s="1">
        <v>-972.29</v>
      </c>
      <c r="I135" s="1">
        <v>386.39</v>
      </c>
      <c r="J135" s="3">
        <v>0</v>
      </c>
      <c r="K135" s="3">
        <v>0</v>
      </c>
      <c r="L135" t="s">
        <v>250</v>
      </c>
      <c r="M135" t="s">
        <v>255</v>
      </c>
      <c r="N135" s="8">
        <f t="shared" si="15"/>
        <v>171.70756016362012</v>
      </c>
      <c r="O135" s="7">
        <f t="shared" si="16"/>
        <v>1.5677355500031145</v>
      </c>
      <c r="P135" s="7">
        <f t="shared" si="17"/>
        <v>5.34866176175414E-2</v>
      </c>
      <c r="Q135" s="7">
        <f t="shared" si="18"/>
        <v>-0.13459070742865842</v>
      </c>
    </row>
    <row r="136" spans="1:17" x14ac:dyDescent="0.3">
      <c r="A136" t="s">
        <v>146</v>
      </c>
      <c r="B136" t="s">
        <v>234</v>
      </c>
      <c r="C136" t="str">
        <f t="shared" si="14"/>
        <v>Traditional</v>
      </c>
      <c r="D136">
        <v>2019</v>
      </c>
      <c r="E136" s="1">
        <v>1613.81</v>
      </c>
      <c r="F136" s="1">
        <v>11617.88</v>
      </c>
      <c r="G136" s="1">
        <v>11662.39</v>
      </c>
      <c r="H136" s="1">
        <v>5162.43</v>
      </c>
      <c r="I136" s="1">
        <v>461.34</v>
      </c>
      <c r="J136" s="3">
        <v>0</v>
      </c>
      <c r="K136" s="3">
        <v>0</v>
      </c>
      <c r="L136" t="s">
        <v>251</v>
      </c>
      <c r="M136" t="s">
        <v>256</v>
      </c>
      <c r="N136" s="8">
        <f t="shared" si="15"/>
        <v>722.66189948011231</v>
      </c>
      <c r="O136" s="7">
        <f t="shared" si="16"/>
        <v>7.1990383006673646</v>
      </c>
      <c r="P136" s="7">
        <f t="shared" si="17"/>
        <v>0.28587008383886581</v>
      </c>
      <c r="Q136" s="7">
        <f t="shared" si="18"/>
        <v>3.1989081738246758</v>
      </c>
    </row>
    <row r="137" spans="1:17" x14ac:dyDescent="0.3">
      <c r="A137" t="s">
        <v>147</v>
      </c>
      <c r="B137" t="s">
        <v>234</v>
      </c>
      <c r="C137" t="str">
        <f t="shared" si="14"/>
        <v>Traditional</v>
      </c>
      <c r="D137">
        <v>2020</v>
      </c>
      <c r="E137" s="1">
        <v>10449.27</v>
      </c>
      <c r="F137" s="1">
        <v>8273.09</v>
      </c>
      <c r="G137" s="1">
        <v>13865.69</v>
      </c>
      <c r="H137" s="1">
        <v>-261.12</v>
      </c>
      <c r="I137" s="1">
        <v>252.29</v>
      </c>
      <c r="J137" s="3">
        <v>0</v>
      </c>
      <c r="K137" s="3">
        <v>1443</v>
      </c>
      <c r="L137" t="s">
        <v>251</v>
      </c>
      <c r="M137" t="s">
        <v>257</v>
      </c>
      <c r="N137" s="8">
        <f t="shared" si="15"/>
        <v>132.69529833184518</v>
      </c>
      <c r="O137" s="7">
        <f t="shared" si="16"/>
        <v>0.79173856164114809</v>
      </c>
      <c r="P137" s="7">
        <f t="shared" si="17"/>
        <v>2.4144270365298245E-2</v>
      </c>
      <c r="Q137" s="7">
        <f t="shared" si="18"/>
        <v>-2.4989305473013902E-2</v>
      </c>
    </row>
    <row r="138" spans="1:17" x14ac:dyDescent="0.3">
      <c r="A138" t="s">
        <v>148</v>
      </c>
      <c r="B138" t="s">
        <v>234</v>
      </c>
      <c r="C138" t="str">
        <f t="shared" si="14"/>
        <v>Traditional</v>
      </c>
      <c r="D138">
        <v>2021</v>
      </c>
      <c r="E138" s="1">
        <v>8961.58</v>
      </c>
      <c r="F138" s="1">
        <v>7297.16</v>
      </c>
      <c r="G138" s="1">
        <v>15285.1</v>
      </c>
      <c r="H138" s="1">
        <v>3664.78</v>
      </c>
      <c r="I138" s="1">
        <v>68.180000000000007</v>
      </c>
      <c r="J138" s="3">
        <v>4060</v>
      </c>
      <c r="K138" s="3">
        <v>0</v>
      </c>
      <c r="L138" t="s">
        <v>251</v>
      </c>
      <c r="M138" t="s">
        <v>255</v>
      </c>
      <c r="N138" s="8">
        <f t="shared" si="15"/>
        <v>170.56255704909179</v>
      </c>
      <c r="O138" s="7">
        <f t="shared" si="16"/>
        <v>0.81427159050078224</v>
      </c>
      <c r="P138" s="7">
        <f t="shared" si="17"/>
        <v>7.6080334048237034E-3</v>
      </c>
      <c r="Q138" s="7">
        <f t="shared" si="18"/>
        <v>0.40894351219316238</v>
      </c>
    </row>
    <row r="139" spans="1:17" x14ac:dyDescent="0.3">
      <c r="A139" t="s">
        <v>149</v>
      </c>
      <c r="B139" t="s">
        <v>234</v>
      </c>
      <c r="C139" t="str">
        <f t="shared" si="14"/>
        <v>Traditional</v>
      </c>
      <c r="D139">
        <v>2022</v>
      </c>
      <c r="E139" s="1">
        <v>23661.93</v>
      </c>
      <c r="F139" s="1">
        <v>15582.12</v>
      </c>
      <c r="G139" s="1">
        <v>8537.25</v>
      </c>
      <c r="H139" s="1">
        <v>8589.5400000000009</v>
      </c>
      <c r="I139" s="1">
        <v>541.87</v>
      </c>
      <c r="J139" s="3">
        <v>5464</v>
      </c>
      <c r="K139" s="3">
        <v>827</v>
      </c>
      <c r="L139" t="s">
        <v>251</v>
      </c>
      <c r="M139" t="s">
        <v>257</v>
      </c>
      <c r="N139" s="8">
        <f t="shared" si="15"/>
        <v>36.080108427334537</v>
      </c>
      <c r="O139" s="7">
        <f t="shared" si="16"/>
        <v>0.65853123561772009</v>
      </c>
      <c r="P139" s="7">
        <f t="shared" si="17"/>
        <v>2.2900498818143745E-2</v>
      </c>
      <c r="Q139" s="7">
        <f t="shared" si="18"/>
        <v>0.36301096318009568</v>
      </c>
    </row>
    <row r="140" spans="1:17" x14ac:dyDescent="0.3">
      <c r="A140" t="s">
        <v>150</v>
      </c>
      <c r="B140" t="s">
        <v>234</v>
      </c>
      <c r="C140" t="str">
        <f t="shared" si="14"/>
        <v>Traditional</v>
      </c>
      <c r="D140">
        <v>2023</v>
      </c>
      <c r="E140" s="1">
        <v>12685.57</v>
      </c>
      <c r="F140" s="1">
        <v>1802.87</v>
      </c>
      <c r="G140" s="1">
        <v>8046.87</v>
      </c>
      <c r="H140" s="1">
        <v>3029.54</v>
      </c>
      <c r="I140" s="1">
        <v>148.22999999999999</v>
      </c>
      <c r="J140" s="3">
        <v>0</v>
      </c>
      <c r="K140" s="3">
        <v>0</v>
      </c>
      <c r="L140" t="s">
        <v>251</v>
      </c>
      <c r="M140" t="s">
        <v>257</v>
      </c>
      <c r="N140" s="8">
        <f t="shared" si="15"/>
        <v>63.433255265628588</v>
      </c>
      <c r="O140" s="7">
        <f t="shared" si="16"/>
        <v>0.14211974708270894</v>
      </c>
      <c r="P140" s="7">
        <f t="shared" si="17"/>
        <v>1.1684930200219618E-2</v>
      </c>
      <c r="Q140" s="7">
        <f t="shared" si="18"/>
        <v>0.23881780637369862</v>
      </c>
    </row>
    <row r="141" spans="1:17" x14ac:dyDescent="0.3">
      <c r="A141" t="s">
        <v>151</v>
      </c>
      <c r="B141" t="s">
        <v>234</v>
      </c>
      <c r="C141" t="str">
        <f t="shared" si="14"/>
        <v>Traditional</v>
      </c>
      <c r="D141">
        <v>2024</v>
      </c>
      <c r="E141" s="1">
        <v>12029.38</v>
      </c>
      <c r="F141" s="1">
        <v>9753.1</v>
      </c>
      <c r="G141" s="1">
        <v>16989.3</v>
      </c>
      <c r="H141" s="1">
        <v>2740.21</v>
      </c>
      <c r="I141" s="1">
        <v>530.05999999999995</v>
      </c>
      <c r="J141" s="3">
        <v>6092</v>
      </c>
      <c r="K141" s="3">
        <v>1548</v>
      </c>
      <c r="L141" t="s">
        <v>251</v>
      </c>
      <c r="M141" t="s">
        <v>255</v>
      </c>
      <c r="N141" s="8">
        <f t="shared" si="15"/>
        <v>141.23171767788531</v>
      </c>
      <c r="O141" s="7">
        <f t="shared" si="16"/>
        <v>0.81077329006149956</v>
      </c>
      <c r="P141" s="7">
        <f t="shared" si="17"/>
        <v>4.4063783835908414E-2</v>
      </c>
      <c r="Q141" s="7">
        <f t="shared" si="18"/>
        <v>0.22779311984491304</v>
      </c>
    </row>
    <row r="142" spans="1:17" x14ac:dyDescent="0.3">
      <c r="A142" t="s">
        <v>152</v>
      </c>
      <c r="B142" t="s">
        <v>235</v>
      </c>
      <c r="C142" t="str">
        <f t="shared" si="14"/>
        <v>Traditional</v>
      </c>
      <c r="D142">
        <v>2015</v>
      </c>
      <c r="E142" s="1">
        <v>14053.96</v>
      </c>
      <c r="F142" s="1">
        <v>1508.87</v>
      </c>
      <c r="G142" s="1">
        <v>10233.83</v>
      </c>
      <c r="H142" s="1">
        <v>6408.45</v>
      </c>
      <c r="I142" s="1">
        <v>171.43</v>
      </c>
      <c r="J142" s="3">
        <v>0</v>
      </c>
      <c r="K142" s="3">
        <v>0</v>
      </c>
      <c r="L142" t="s">
        <v>251</v>
      </c>
      <c r="M142" t="s">
        <v>256</v>
      </c>
      <c r="N142" s="8">
        <f t="shared" si="15"/>
        <v>72.818123859751992</v>
      </c>
      <c r="O142" s="7">
        <f t="shared" si="16"/>
        <v>0.10736262234985726</v>
      </c>
      <c r="P142" s="7">
        <f t="shared" si="17"/>
        <v>1.2197985478825899E-2</v>
      </c>
      <c r="Q142" s="7">
        <f t="shared" si="18"/>
        <v>0.45598891700275229</v>
      </c>
    </row>
    <row r="143" spans="1:17" x14ac:dyDescent="0.3">
      <c r="A143" t="s">
        <v>153</v>
      </c>
      <c r="B143" t="s">
        <v>235</v>
      </c>
      <c r="C143" t="str">
        <f t="shared" si="14"/>
        <v>Traditional</v>
      </c>
      <c r="D143">
        <v>2016</v>
      </c>
      <c r="E143" s="1">
        <v>4034.55</v>
      </c>
      <c r="F143" s="1">
        <v>10923.84</v>
      </c>
      <c r="G143" s="1">
        <v>8207.33</v>
      </c>
      <c r="H143" s="1">
        <v>-1557.2</v>
      </c>
      <c r="I143" s="1">
        <v>28.15</v>
      </c>
      <c r="J143" s="3">
        <v>5556</v>
      </c>
      <c r="K143" s="3">
        <v>0</v>
      </c>
      <c r="L143" t="s">
        <v>253</v>
      </c>
      <c r="M143" t="s">
        <v>257</v>
      </c>
      <c r="N143" s="8">
        <f t="shared" si="15"/>
        <v>203.4261565726041</v>
      </c>
      <c r="O143" s="7">
        <f t="shared" si="16"/>
        <v>2.7075733353162064</v>
      </c>
      <c r="P143" s="7">
        <f t="shared" si="17"/>
        <v>6.977234140114758E-3</v>
      </c>
      <c r="Q143" s="7">
        <f t="shared" si="18"/>
        <v>-0.38596621680236953</v>
      </c>
    </row>
    <row r="144" spans="1:17" x14ac:dyDescent="0.3">
      <c r="A144" t="s">
        <v>154</v>
      </c>
      <c r="B144" t="s">
        <v>235</v>
      </c>
      <c r="C144" t="str">
        <f t="shared" si="14"/>
        <v>Traditional</v>
      </c>
      <c r="D144">
        <v>2017</v>
      </c>
      <c r="E144" s="1">
        <v>23318.53</v>
      </c>
      <c r="F144" s="1">
        <v>5869.83</v>
      </c>
      <c r="G144" s="1">
        <v>8041.21</v>
      </c>
      <c r="H144" s="1">
        <v>4781.51</v>
      </c>
      <c r="I144" s="1">
        <v>506.35</v>
      </c>
      <c r="J144" s="3">
        <v>5611</v>
      </c>
      <c r="K144" s="3">
        <v>0</v>
      </c>
      <c r="L144" t="s">
        <v>251</v>
      </c>
      <c r="M144" t="s">
        <v>255</v>
      </c>
      <c r="N144" s="8">
        <f t="shared" si="15"/>
        <v>34.484206337191928</v>
      </c>
      <c r="O144" s="7">
        <f t="shared" si="16"/>
        <v>0.25172384365566786</v>
      </c>
      <c r="P144" s="7">
        <f t="shared" si="17"/>
        <v>2.1714490578951591E-2</v>
      </c>
      <c r="Q144" s="7">
        <f t="shared" si="18"/>
        <v>0.20505194795726833</v>
      </c>
    </row>
    <row r="145" spans="1:17" x14ac:dyDescent="0.3">
      <c r="A145" t="s">
        <v>155</v>
      </c>
      <c r="B145" t="s">
        <v>235</v>
      </c>
      <c r="C145" t="str">
        <f t="shared" si="14"/>
        <v>Traditional</v>
      </c>
      <c r="D145">
        <v>2018</v>
      </c>
      <c r="E145" s="1">
        <v>24507.5</v>
      </c>
      <c r="F145" s="1">
        <v>10589.9</v>
      </c>
      <c r="G145" s="1">
        <v>15996.07</v>
      </c>
      <c r="H145" s="1">
        <v>5978.57</v>
      </c>
      <c r="I145" s="1">
        <v>414.39</v>
      </c>
      <c r="J145" s="3">
        <v>536</v>
      </c>
      <c r="K145" s="3">
        <v>1137</v>
      </c>
      <c r="L145" t="s">
        <v>250</v>
      </c>
      <c r="M145" t="s">
        <v>257</v>
      </c>
      <c r="N145" s="8">
        <f t="shared" si="15"/>
        <v>65.270100989493002</v>
      </c>
      <c r="O145" s="7">
        <f t="shared" si="16"/>
        <v>0.43210853820259104</v>
      </c>
      <c r="P145" s="7">
        <f t="shared" si="17"/>
        <v>1.6908701417933287E-2</v>
      </c>
      <c r="Q145" s="7">
        <f t="shared" si="18"/>
        <v>0.2439485871671937</v>
      </c>
    </row>
    <row r="146" spans="1:17" x14ac:dyDescent="0.3">
      <c r="A146" t="s">
        <v>156</v>
      </c>
      <c r="B146" t="s">
        <v>235</v>
      </c>
      <c r="C146" t="str">
        <f t="shared" si="14"/>
        <v>Traditional</v>
      </c>
      <c r="D146">
        <v>2019</v>
      </c>
      <c r="E146" s="1">
        <v>18168.98</v>
      </c>
      <c r="F146" s="1">
        <v>13987.99</v>
      </c>
      <c r="G146" s="1">
        <v>7789.75</v>
      </c>
      <c r="H146" s="1">
        <v>7038.27</v>
      </c>
      <c r="I146" s="1">
        <v>149.11000000000001</v>
      </c>
      <c r="J146" s="3">
        <v>0</v>
      </c>
      <c r="K146" s="3">
        <v>0</v>
      </c>
      <c r="L146" t="s">
        <v>251</v>
      </c>
      <c r="M146" t="s">
        <v>256</v>
      </c>
      <c r="N146" s="8">
        <f t="shared" si="15"/>
        <v>42.873898259561081</v>
      </c>
      <c r="O146" s="7">
        <f t="shared" si="16"/>
        <v>0.76988306443179533</v>
      </c>
      <c r="P146" s="7">
        <f t="shared" si="17"/>
        <v>8.20684485315081E-3</v>
      </c>
      <c r="Q146" s="7">
        <f t="shared" si="18"/>
        <v>0.38737837787261586</v>
      </c>
    </row>
    <row r="147" spans="1:17" x14ac:dyDescent="0.3">
      <c r="A147" t="s">
        <v>157</v>
      </c>
      <c r="B147" t="s">
        <v>235</v>
      </c>
      <c r="C147" t="str">
        <f t="shared" si="14"/>
        <v>Traditional</v>
      </c>
      <c r="D147">
        <v>2020</v>
      </c>
      <c r="E147" s="1">
        <v>10554.25</v>
      </c>
      <c r="F147" s="1">
        <v>13994.51</v>
      </c>
      <c r="G147" s="1">
        <v>18434.259999999998</v>
      </c>
      <c r="H147" s="1">
        <v>7600.99</v>
      </c>
      <c r="I147" s="1">
        <v>442.82</v>
      </c>
      <c r="J147" s="3">
        <v>0</v>
      </c>
      <c r="K147" s="3">
        <v>2174</v>
      </c>
      <c r="L147" t="s">
        <v>250</v>
      </c>
      <c r="M147" t="s">
        <v>256</v>
      </c>
      <c r="N147" s="8">
        <f t="shared" si="15"/>
        <v>174.66196082147002</v>
      </c>
      <c r="O147" s="7">
        <f t="shared" si="16"/>
        <v>1.3259596844872918</v>
      </c>
      <c r="P147" s="7">
        <f t="shared" si="17"/>
        <v>4.1956557784778643E-2</v>
      </c>
      <c r="Q147" s="7">
        <f t="shared" si="18"/>
        <v>0.72018286472274196</v>
      </c>
    </row>
    <row r="148" spans="1:17" x14ac:dyDescent="0.3">
      <c r="A148" t="s">
        <v>158</v>
      </c>
      <c r="B148" t="s">
        <v>235</v>
      </c>
      <c r="C148" t="str">
        <f t="shared" si="14"/>
        <v>Traditional</v>
      </c>
      <c r="D148">
        <v>2021</v>
      </c>
      <c r="E148" s="1">
        <v>9732.2099999999991</v>
      </c>
      <c r="F148" s="1">
        <v>17229</v>
      </c>
      <c r="G148" s="1">
        <v>9355.3700000000008</v>
      </c>
      <c r="H148" s="1">
        <v>3864.4</v>
      </c>
      <c r="I148" s="1">
        <v>330.03</v>
      </c>
      <c r="J148" s="3">
        <v>4431</v>
      </c>
      <c r="K148" s="3">
        <v>837</v>
      </c>
      <c r="L148" t="s">
        <v>251</v>
      </c>
      <c r="M148" t="s">
        <v>257</v>
      </c>
      <c r="N148" s="8">
        <f t="shared" si="15"/>
        <v>96.127909282680932</v>
      </c>
      <c r="O148" s="7">
        <f t="shared" si="16"/>
        <v>1.7703070525605182</v>
      </c>
      <c r="P148" s="7">
        <f t="shared" si="17"/>
        <v>3.3911105494024485E-2</v>
      </c>
      <c r="Q148" s="7">
        <f t="shared" si="18"/>
        <v>0.39707322386179505</v>
      </c>
    </row>
    <row r="149" spans="1:17" x14ac:dyDescent="0.3">
      <c r="A149" t="s">
        <v>159</v>
      </c>
      <c r="B149" t="s">
        <v>235</v>
      </c>
      <c r="C149" t="str">
        <f t="shared" si="14"/>
        <v>Traditional</v>
      </c>
      <c r="D149">
        <v>2022</v>
      </c>
      <c r="E149" s="1">
        <v>24565.38</v>
      </c>
      <c r="F149" s="1">
        <v>13926.9</v>
      </c>
      <c r="G149" s="1">
        <v>14186.55</v>
      </c>
      <c r="H149" s="1">
        <v>5592.64</v>
      </c>
      <c r="I149" s="1">
        <v>295.95999999999998</v>
      </c>
      <c r="J149" s="3">
        <v>7961</v>
      </c>
      <c r="K149" s="3">
        <v>0</v>
      </c>
      <c r="L149" t="s">
        <v>251</v>
      </c>
      <c r="M149" t="s">
        <v>255</v>
      </c>
      <c r="N149" s="8">
        <f t="shared" si="15"/>
        <v>57.750175246627563</v>
      </c>
      <c r="O149" s="7">
        <f t="shared" si="16"/>
        <v>0.56693199942357897</v>
      </c>
      <c r="P149" s="7">
        <f t="shared" si="17"/>
        <v>1.2047849453173529E-2</v>
      </c>
      <c r="Q149" s="7">
        <f t="shared" si="18"/>
        <v>0.22766348413906073</v>
      </c>
    </row>
    <row r="150" spans="1:17" x14ac:dyDescent="0.3">
      <c r="A150" t="s">
        <v>160</v>
      </c>
      <c r="B150" t="s">
        <v>235</v>
      </c>
      <c r="C150" t="str">
        <f t="shared" si="14"/>
        <v>Traditional</v>
      </c>
      <c r="D150">
        <v>2023</v>
      </c>
      <c r="E150" s="1">
        <v>22446.13</v>
      </c>
      <c r="F150" s="1">
        <v>7222.68</v>
      </c>
      <c r="G150" s="1">
        <v>7099.15</v>
      </c>
      <c r="H150" s="1">
        <v>6503.71</v>
      </c>
      <c r="I150" s="1">
        <v>92.15</v>
      </c>
      <c r="J150" s="3">
        <v>789</v>
      </c>
      <c r="K150" s="3">
        <v>2975</v>
      </c>
      <c r="L150" t="s">
        <v>251</v>
      </c>
      <c r="M150" t="s">
        <v>256</v>
      </c>
      <c r="N150" s="8">
        <f t="shared" si="15"/>
        <v>31.62750104360974</v>
      </c>
      <c r="O150" s="7">
        <f t="shared" si="16"/>
        <v>0.32177840901750099</v>
      </c>
      <c r="P150" s="7">
        <f t="shared" si="17"/>
        <v>4.1053847589762691E-3</v>
      </c>
      <c r="Q150" s="7">
        <f t="shared" si="18"/>
        <v>0.28974749767554586</v>
      </c>
    </row>
    <row r="151" spans="1:17" x14ac:dyDescent="0.3">
      <c r="A151" t="s">
        <v>161</v>
      </c>
      <c r="B151" t="s">
        <v>235</v>
      </c>
      <c r="C151" t="str">
        <f t="shared" si="14"/>
        <v>Traditional</v>
      </c>
      <c r="D151">
        <v>2024</v>
      </c>
      <c r="E151" s="1">
        <v>5742.68</v>
      </c>
      <c r="F151" s="1">
        <v>14937.54</v>
      </c>
      <c r="G151" s="1">
        <v>5641.31</v>
      </c>
      <c r="H151" s="1">
        <v>4182.2</v>
      </c>
      <c r="I151" s="1">
        <v>166.61</v>
      </c>
      <c r="J151" s="3">
        <v>0</v>
      </c>
      <c r="K151" s="3">
        <v>1043</v>
      </c>
      <c r="L151" t="s">
        <v>250</v>
      </c>
      <c r="M151" t="s">
        <v>255</v>
      </c>
      <c r="N151" s="8">
        <f t="shared" si="15"/>
        <v>98.234796297199225</v>
      </c>
      <c r="O151" s="7">
        <f t="shared" si="16"/>
        <v>2.601144413409767</v>
      </c>
      <c r="P151" s="7">
        <f t="shared" si="17"/>
        <v>2.9012586457890743E-2</v>
      </c>
      <c r="Q151" s="7">
        <f t="shared" si="18"/>
        <v>0.7282662450284535</v>
      </c>
    </row>
    <row r="152" spans="1:17" x14ac:dyDescent="0.3">
      <c r="A152" t="s">
        <v>162</v>
      </c>
      <c r="B152" t="s">
        <v>236</v>
      </c>
      <c r="C152" t="str">
        <f t="shared" si="14"/>
        <v>Traditional</v>
      </c>
      <c r="D152">
        <v>2015</v>
      </c>
      <c r="E152" s="1">
        <v>10625.88</v>
      </c>
      <c r="F152" s="1">
        <v>12968.97</v>
      </c>
      <c r="G152" s="1">
        <v>2280.73</v>
      </c>
      <c r="H152" s="1">
        <v>6478.43</v>
      </c>
      <c r="I152" s="1">
        <v>8.08</v>
      </c>
      <c r="J152" s="3">
        <v>2687</v>
      </c>
      <c r="K152" s="3">
        <v>0</v>
      </c>
      <c r="L152" t="s">
        <v>251</v>
      </c>
      <c r="M152" t="s">
        <v>257</v>
      </c>
      <c r="N152" s="8">
        <f t="shared" si="15"/>
        <v>21.463916400335787</v>
      </c>
      <c r="O152" s="7">
        <f t="shared" si="16"/>
        <v>1.2205078544082937</v>
      </c>
      <c r="P152" s="7">
        <f t="shared" si="17"/>
        <v>7.6040760859335892E-4</v>
      </c>
      <c r="Q152" s="7">
        <f t="shared" si="18"/>
        <v>0.60968409204696461</v>
      </c>
    </row>
    <row r="153" spans="1:17" x14ac:dyDescent="0.3">
      <c r="A153" t="s">
        <v>163</v>
      </c>
      <c r="B153" t="s">
        <v>236</v>
      </c>
      <c r="C153" t="str">
        <f t="shared" si="14"/>
        <v>Traditional</v>
      </c>
      <c r="D153">
        <v>2016</v>
      </c>
      <c r="E153" s="1">
        <v>8368.61</v>
      </c>
      <c r="F153" s="1">
        <v>11696.98</v>
      </c>
      <c r="G153" s="1">
        <v>18186.36</v>
      </c>
      <c r="H153" s="1">
        <v>-1015.93</v>
      </c>
      <c r="I153" s="1">
        <v>346.61</v>
      </c>
      <c r="J153" s="3">
        <v>0</v>
      </c>
      <c r="K153" s="3">
        <v>0</v>
      </c>
      <c r="L153" t="s">
        <v>253</v>
      </c>
      <c r="M153" t="s">
        <v>255</v>
      </c>
      <c r="N153" s="8">
        <f t="shared" si="15"/>
        <v>217.31637631578002</v>
      </c>
      <c r="O153" s="7">
        <f t="shared" si="16"/>
        <v>1.3977207684430268</v>
      </c>
      <c r="P153" s="7">
        <f t="shared" si="17"/>
        <v>4.1417869873252543E-2</v>
      </c>
      <c r="Q153" s="7">
        <f t="shared" si="18"/>
        <v>-0.12139769925949469</v>
      </c>
    </row>
    <row r="154" spans="1:17" x14ac:dyDescent="0.3">
      <c r="A154" t="s">
        <v>164</v>
      </c>
      <c r="B154" t="s">
        <v>236</v>
      </c>
      <c r="C154" t="str">
        <f t="shared" si="14"/>
        <v>Traditional</v>
      </c>
      <c r="D154">
        <v>2017</v>
      </c>
      <c r="E154" s="1">
        <v>12636.91</v>
      </c>
      <c r="F154" s="1">
        <v>16871.64</v>
      </c>
      <c r="G154" s="1">
        <v>19253.990000000002</v>
      </c>
      <c r="H154" s="1">
        <v>8186.44</v>
      </c>
      <c r="I154" s="1">
        <v>526.66</v>
      </c>
      <c r="J154" s="3">
        <v>251</v>
      </c>
      <c r="K154" s="3">
        <v>2376</v>
      </c>
      <c r="L154" t="s">
        <v>251</v>
      </c>
      <c r="M154" t="s">
        <v>256</v>
      </c>
      <c r="N154" s="8">
        <f t="shared" si="15"/>
        <v>152.36311724939088</v>
      </c>
      <c r="O154" s="7">
        <f t="shared" si="16"/>
        <v>1.3351080287823527</v>
      </c>
      <c r="P154" s="7">
        <f t="shared" si="17"/>
        <v>4.1676327519939604E-2</v>
      </c>
      <c r="Q154" s="7">
        <f t="shared" si="18"/>
        <v>0.64781975973556827</v>
      </c>
    </row>
    <row r="155" spans="1:17" x14ac:dyDescent="0.3">
      <c r="A155" t="s">
        <v>165</v>
      </c>
      <c r="B155" t="s">
        <v>236</v>
      </c>
      <c r="C155" t="str">
        <f t="shared" si="14"/>
        <v>Traditional</v>
      </c>
      <c r="D155">
        <v>2018</v>
      </c>
      <c r="E155" s="1">
        <v>13345.8</v>
      </c>
      <c r="F155" s="1">
        <v>16028.83</v>
      </c>
      <c r="G155" s="1">
        <v>2943.74</v>
      </c>
      <c r="H155" s="1">
        <v>3546.34</v>
      </c>
      <c r="I155" s="1">
        <v>167.34</v>
      </c>
      <c r="J155" s="3">
        <v>1945</v>
      </c>
      <c r="K155" s="3">
        <v>0</v>
      </c>
      <c r="L155" t="s">
        <v>251</v>
      </c>
      <c r="M155" t="s">
        <v>257</v>
      </c>
      <c r="N155" s="8">
        <f t="shared" si="15"/>
        <v>22.057426306403514</v>
      </c>
      <c r="O155" s="7">
        <f t="shared" si="16"/>
        <v>1.2010392782748132</v>
      </c>
      <c r="P155" s="7">
        <f t="shared" si="17"/>
        <v>1.2538776244211663E-2</v>
      </c>
      <c r="Q155" s="7">
        <f t="shared" si="18"/>
        <v>0.26572704521272611</v>
      </c>
    </row>
    <row r="156" spans="1:17" x14ac:dyDescent="0.3">
      <c r="A156" t="s">
        <v>166</v>
      </c>
      <c r="B156" t="s">
        <v>236</v>
      </c>
      <c r="C156" t="str">
        <f t="shared" si="14"/>
        <v>Traditional</v>
      </c>
      <c r="D156">
        <v>2019</v>
      </c>
      <c r="E156" s="1">
        <v>19873.810000000001</v>
      </c>
      <c r="F156" s="1">
        <v>10306.51</v>
      </c>
      <c r="G156" s="1">
        <v>15218.47</v>
      </c>
      <c r="H156" s="1">
        <v>-69.56</v>
      </c>
      <c r="I156" s="1">
        <v>514.41</v>
      </c>
      <c r="J156" s="3">
        <v>6743</v>
      </c>
      <c r="K156" s="3">
        <v>0</v>
      </c>
      <c r="L156" t="s">
        <v>250</v>
      </c>
      <c r="M156" t="s">
        <v>256</v>
      </c>
      <c r="N156" s="8">
        <f t="shared" si="15"/>
        <v>76.575503137043171</v>
      </c>
      <c r="O156" s="7">
        <f t="shared" si="16"/>
        <v>0.51859759150359186</v>
      </c>
      <c r="P156" s="7">
        <f t="shared" si="17"/>
        <v>2.588381392395318E-2</v>
      </c>
      <c r="Q156" s="7">
        <f t="shared" si="18"/>
        <v>-3.5000837786010835E-3</v>
      </c>
    </row>
    <row r="157" spans="1:17" x14ac:dyDescent="0.3">
      <c r="A157" t="s">
        <v>167</v>
      </c>
      <c r="B157" t="s">
        <v>236</v>
      </c>
      <c r="C157" t="str">
        <f t="shared" si="14"/>
        <v>Traditional</v>
      </c>
      <c r="D157">
        <v>2020</v>
      </c>
      <c r="E157" s="1">
        <v>3944.99</v>
      </c>
      <c r="F157" s="1">
        <v>5960.11</v>
      </c>
      <c r="G157" s="1">
        <v>5186.53</v>
      </c>
      <c r="H157" s="1">
        <v>868.64</v>
      </c>
      <c r="I157" s="1">
        <v>145.13999999999999</v>
      </c>
      <c r="J157" s="3">
        <v>4474</v>
      </c>
      <c r="K157" s="3">
        <v>1286</v>
      </c>
      <c r="L157" t="s">
        <v>251</v>
      </c>
      <c r="M157" t="s">
        <v>257</v>
      </c>
      <c r="N157" s="8">
        <f t="shared" si="15"/>
        <v>131.47130917949096</v>
      </c>
      <c r="O157" s="7">
        <f t="shared" si="16"/>
        <v>1.5108048436117709</v>
      </c>
      <c r="P157" s="7">
        <f t="shared" si="17"/>
        <v>3.6790967784455723E-2</v>
      </c>
      <c r="Q157" s="7">
        <f t="shared" si="18"/>
        <v>0.22018813735903006</v>
      </c>
    </row>
    <row r="158" spans="1:17" x14ac:dyDescent="0.3">
      <c r="A158" t="s">
        <v>168</v>
      </c>
      <c r="B158" t="s">
        <v>236</v>
      </c>
      <c r="C158" t="str">
        <f t="shared" si="14"/>
        <v>Traditional</v>
      </c>
      <c r="D158">
        <v>2021</v>
      </c>
      <c r="E158" s="1">
        <v>16860.759999999998</v>
      </c>
      <c r="F158" s="1">
        <v>8484.0300000000007</v>
      </c>
      <c r="G158" s="1">
        <v>3446.42</v>
      </c>
      <c r="H158" s="1">
        <v>5546.81</v>
      </c>
      <c r="I158" s="1">
        <v>554.25</v>
      </c>
      <c r="J158" s="3">
        <v>0</v>
      </c>
      <c r="K158" s="3">
        <v>0</v>
      </c>
      <c r="L158" t="s">
        <v>251</v>
      </c>
      <c r="M158" t="s">
        <v>257</v>
      </c>
      <c r="N158" s="8">
        <f t="shared" si="15"/>
        <v>20.440478365150803</v>
      </c>
      <c r="O158" s="7">
        <f t="shared" si="16"/>
        <v>0.50318194434889063</v>
      </c>
      <c r="P158" s="7">
        <f t="shared" si="17"/>
        <v>3.2872183697532024E-2</v>
      </c>
      <c r="Q158" s="7">
        <f t="shared" si="18"/>
        <v>0.328977460090767</v>
      </c>
    </row>
    <row r="159" spans="1:17" x14ac:dyDescent="0.3">
      <c r="A159" t="s">
        <v>169</v>
      </c>
      <c r="B159" t="s">
        <v>236</v>
      </c>
      <c r="C159" t="str">
        <f t="shared" si="14"/>
        <v>Traditional</v>
      </c>
      <c r="D159">
        <v>2022</v>
      </c>
      <c r="E159" s="1">
        <v>12215.46</v>
      </c>
      <c r="F159" s="1">
        <v>8298.6200000000008</v>
      </c>
      <c r="G159" s="1">
        <v>19780.11</v>
      </c>
      <c r="H159" s="1">
        <v>2109.87</v>
      </c>
      <c r="I159" s="1">
        <v>422.65</v>
      </c>
      <c r="J159" s="3">
        <v>0</v>
      </c>
      <c r="K159" s="3">
        <v>1063</v>
      </c>
      <c r="L159" t="s">
        <v>250</v>
      </c>
      <c r="M159" t="s">
        <v>256</v>
      </c>
      <c r="N159" s="8">
        <f t="shared" si="15"/>
        <v>161.92685334813427</v>
      </c>
      <c r="O159" s="7">
        <f t="shared" si="16"/>
        <v>0.67935386796731367</v>
      </c>
      <c r="P159" s="7">
        <f t="shared" si="17"/>
        <v>3.4599597559158639E-2</v>
      </c>
      <c r="Q159" s="7">
        <f t="shared" si="18"/>
        <v>0.1727212892514895</v>
      </c>
    </row>
    <row r="160" spans="1:17" x14ac:dyDescent="0.3">
      <c r="A160" t="s">
        <v>170</v>
      </c>
      <c r="B160" t="s">
        <v>236</v>
      </c>
      <c r="C160" t="str">
        <f t="shared" si="14"/>
        <v>Traditional</v>
      </c>
      <c r="D160">
        <v>2023</v>
      </c>
      <c r="E160" s="1">
        <v>22972.5</v>
      </c>
      <c r="F160" s="1">
        <v>2197.3200000000002</v>
      </c>
      <c r="G160" s="1">
        <v>16626.849999999999</v>
      </c>
      <c r="H160" s="1">
        <v>7931.77</v>
      </c>
      <c r="I160" s="1">
        <v>125.28</v>
      </c>
      <c r="J160" s="3">
        <v>0</v>
      </c>
      <c r="K160" s="3">
        <v>0</v>
      </c>
      <c r="L160" t="s">
        <v>250</v>
      </c>
      <c r="M160" t="s">
        <v>256</v>
      </c>
      <c r="N160" s="8">
        <f t="shared" si="15"/>
        <v>72.377190118620078</v>
      </c>
      <c r="O160" s="7">
        <f t="shared" si="16"/>
        <v>9.5650016323865494E-2</v>
      </c>
      <c r="P160" s="7">
        <f t="shared" si="17"/>
        <v>5.4534769833496574E-3</v>
      </c>
      <c r="Q160" s="7">
        <f t="shared" si="18"/>
        <v>0.34527239090216566</v>
      </c>
    </row>
    <row r="161" spans="1:17" x14ac:dyDescent="0.3">
      <c r="A161" t="s">
        <v>171</v>
      </c>
      <c r="B161" t="s">
        <v>236</v>
      </c>
      <c r="C161" t="str">
        <f t="shared" si="14"/>
        <v>Traditional</v>
      </c>
      <c r="D161">
        <v>2024</v>
      </c>
      <c r="E161" s="1">
        <v>14787.12</v>
      </c>
      <c r="F161" s="1">
        <v>1818.76</v>
      </c>
      <c r="G161" s="1">
        <v>10354.39</v>
      </c>
      <c r="H161" s="1">
        <v>6895.61</v>
      </c>
      <c r="I161" s="1">
        <v>274.79000000000002</v>
      </c>
      <c r="J161" s="3">
        <v>8509</v>
      </c>
      <c r="K161" s="3">
        <v>1921</v>
      </c>
      <c r="L161" t="s">
        <v>250</v>
      </c>
      <c r="M161" t="s">
        <v>256</v>
      </c>
      <c r="N161" s="8">
        <f t="shared" si="15"/>
        <v>70.023033558935069</v>
      </c>
      <c r="O161" s="7">
        <f t="shared" si="16"/>
        <v>0.12299622915077445</v>
      </c>
      <c r="P161" s="7">
        <f t="shared" si="17"/>
        <v>1.8583064180178428E-2</v>
      </c>
      <c r="Q161" s="7">
        <f t="shared" si="18"/>
        <v>0.46632542374715286</v>
      </c>
    </row>
    <row r="162" spans="1:17" x14ac:dyDescent="0.3">
      <c r="A162" t="s">
        <v>172</v>
      </c>
      <c r="B162" t="s">
        <v>258</v>
      </c>
      <c r="C162" t="str">
        <f t="shared" ref="C162:C193" si="19">IF(OR(B162="Atom Bank",B162="Monzo Bank",B162="Starling bank",B162="Revolut UK"),"Digital","Traditional")</f>
        <v>Digital</v>
      </c>
      <c r="D162">
        <v>2015</v>
      </c>
      <c r="E162" s="1">
        <v>1033.3800000000001</v>
      </c>
      <c r="F162" s="1">
        <v>4729.34</v>
      </c>
      <c r="G162" s="1">
        <v>359.4</v>
      </c>
      <c r="H162" s="1">
        <v>396.91</v>
      </c>
      <c r="I162" s="1">
        <v>48.45</v>
      </c>
      <c r="J162" s="3">
        <v>7041</v>
      </c>
      <c r="K162" s="3">
        <v>2918</v>
      </c>
      <c r="L162" t="s">
        <v>250</v>
      </c>
      <c r="M162" t="s">
        <v>255</v>
      </c>
      <c r="N162" s="8">
        <f t="shared" si="15"/>
        <v>34.779074493409965</v>
      </c>
      <c r="O162" s="7">
        <f t="shared" si="16"/>
        <v>4.5765739611759466</v>
      </c>
      <c r="P162" s="7">
        <f t="shared" si="17"/>
        <v>4.6884979388027638E-2</v>
      </c>
      <c r="Q162" s="7">
        <f t="shared" ref="Q162:Q193" si="20">H162/E162</f>
        <v>0.38408910565329307</v>
      </c>
    </row>
    <row r="163" spans="1:17" x14ac:dyDescent="0.3">
      <c r="A163" t="s">
        <v>173</v>
      </c>
      <c r="B163" t="s">
        <v>258</v>
      </c>
      <c r="C163" t="str">
        <f t="shared" si="19"/>
        <v>Digital</v>
      </c>
      <c r="D163">
        <v>2016</v>
      </c>
      <c r="E163" s="1">
        <v>23377.5</v>
      </c>
      <c r="F163" s="1">
        <v>764.88</v>
      </c>
      <c r="G163" s="1">
        <v>8354.68</v>
      </c>
      <c r="H163" s="1">
        <v>6458.69</v>
      </c>
      <c r="I163" s="1">
        <v>460.67</v>
      </c>
      <c r="J163" s="3">
        <v>6987</v>
      </c>
      <c r="K163" s="3">
        <v>0</v>
      </c>
      <c r="L163" t="s">
        <v>251</v>
      </c>
      <c r="M163" t="s">
        <v>256</v>
      </c>
      <c r="N163" s="8">
        <f t="shared" si="15"/>
        <v>35.738124264784517</v>
      </c>
      <c r="O163" s="7">
        <f t="shared" si="16"/>
        <v>3.2718639717677252E-2</v>
      </c>
      <c r="P163" s="7">
        <f t="shared" si="17"/>
        <v>1.9705699925141696E-2</v>
      </c>
      <c r="Q163" s="7">
        <f t="shared" si="20"/>
        <v>0.27627804512886323</v>
      </c>
    </row>
    <row r="164" spans="1:17" x14ac:dyDescent="0.3">
      <c r="A164" t="s">
        <v>174</v>
      </c>
      <c r="B164" t="s">
        <v>258</v>
      </c>
      <c r="C164" t="str">
        <f t="shared" si="19"/>
        <v>Digital</v>
      </c>
      <c r="D164">
        <v>2017</v>
      </c>
      <c r="E164" s="1">
        <v>21926.57</v>
      </c>
      <c r="F164" s="1">
        <v>2567.2199999999998</v>
      </c>
      <c r="G164" s="1">
        <v>17247.650000000001</v>
      </c>
      <c r="H164" s="1">
        <v>-695.04</v>
      </c>
      <c r="I164" s="1">
        <v>595.74</v>
      </c>
      <c r="J164" s="3">
        <v>0</v>
      </c>
      <c r="K164" s="3">
        <v>962</v>
      </c>
      <c r="L164" t="s">
        <v>250</v>
      </c>
      <c r="M164" t="s">
        <v>256</v>
      </c>
      <c r="N164" s="8">
        <f t="shared" si="15"/>
        <v>78.660957915442324</v>
      </c>
      <c r="O164" s="7">
        <f t="shared" si="16"/>
        <v>0.11708260799568741</v>
      </c>
      <c r="P164" s="7">
        <f t="shared" si="17"/>
        <v>2.7169776212148094E-2</v>
      </c>
      <c r="Q164" s="7">
        <f t="shared" si="20"/>
        <v>-3.1698528315190197E-2</v>
      </c>
    </row>
    <row r="165" spans="1:17" x14ac:dyDescent="0.3">
      <c r="A165" t="s">
        <v>175</v>
      </c>
      <c r="B165" t="s">
        <v>258</v>
      </c>
      <c r="C165" t="str">
        <f t="shared" si="19"/>
        <v>Digital</v>
      </c>
      <c r="D165">
        <v>2018</v>
      </c>
      <c r="E165" s="1">
        <v>10891.14</v>
      </c>
      <c r="F165" s="1">
        <v>6951.12</v>
      </c>
      <c r="G165" s="1">
        <v>4824.38</v>
      </c>
      <c r="H165" s="1">
        <v>3066.88</v>
      </c>
      <c r="I165" s="1">
        <v>97.3</v>
      </c>
      <c r="J165" s="3">
        <v>0</v>
      </c>
      <c r="K165" s="3">
        <v>0</v>
      </c>
      <c r="L165" t="s">
        <v>250</v>
      </c>
      <c r="M165" t="s">
        <v>255</v>
      </c>
      <c r="N165" s="8">
        <f t="shared" si="15"/>
        <v>44.296373015129731</v>
      </c>
      <c r="O165" s="7">
        <f t="shared" si="16"/>
        <v>0.63823621769621919</v>
      </c>
      <c r="P165" s="7">
        <f t="shared" si="17"/>
        <v>8.933867345383496E-3</v>
      </c>
      <c r="Q165" s="7">
        <f t="shared" si="20"/>
        <v>0.28159402964244334</v>
      </c>
    </row>
    <row r="166" spans="1:17" x14ac:dyDescent="0.3">
      <c r="A166" t="s">
        <v>176</v>
      </c>
      <c r="B166" t="s">
        <v>258</v>
      </c>
      <c r="C166" t="str">
        <f t="shared" si="19"/>
        <v>Digital</v>
      </c>
      <c r="D166">
        <v>2019</v>
      </c>
      <c r="E166" s="1">
        <v>15051.63</v>
      </c>
      <c r="F166" s="1">
        <v>8146.65</v>
      </c>
      <c r="G166" s="1">
        <v>13538.87</v>
      </c>
      <c r="H166" s="1">
        <v>7594.34</v>
      </c>
      <c r="I166" s="1">
        <v>150.62</v>
      </c>
      <c r="J166" s="3">
        <v>824</v>
      </c>
      <c r="K166" s="3">
        <v>1847</v>
      </c>
      <c r="L166" t="s">
        <v>250</v>
      </c>
      <c r="M166" t="s">
        <v>255</v>
      </c>
      <c r="N166" s="8">
        <f t="shared" si="15"/>
        <v>89.949527061188732</v>
      </c>
      <c r="O166" s="7">
        <f t="shared" si="16"/>
        <v>0.54124702773055144</v>
      </c>
      <c r="P166" s="7">
        <f t="shared" si="17"/>
        <v>1.0006889619263827E-2</v>
      </c>
      <c r="Q166" s="7">
        <f t="shared" si="20"/>
        <v>0.50455266306705659</v>
      </c>
    </row>
    <row r="167" spans="1:17" x14ac:dyDescent="0.3">
      <c r="A167" t="s">
        <v>177</v>
      </c>
      <c r="B167" t="s">
        <v>258</v>
      </c>
      <c r="C167" t="str">
        <f t="shared" si="19"/>
        <v>Digital</v>
      </c>
      <c r="D167">
        <v>2020</v>
      </c>
      <c r="E167" s="1">
        <v>3933.32</v>
      </c>
      <c r="F167" s="1">
        <v>17884.009999999998</v>
      </c>
      <c r="G167" s="1">
        <v>4912.9799999999996</v>
      </c>
      <c r="H167" s="1">
        <v>8080.37</v>
      </c>
      <c r="I167" s="1">
        <v>347.79</v>
      </c>
      <c r="J167" s="3">
        <v>0</v>
      </c>
      <c r="K167" s="3">
        <v>1286</v>
      </c>
      <c r="L167" t="s">
        <v>250</v>
      </c>
      <c r="M167" t="s">
        <v>255</v>
      </c>
      <c r="N167" s="8">
        <f t="shared" si="15"/>
        <v>124.90669459896473</v>
      </c>
      <c r="O167" s="7">
        <f t="shared" si="16"/>
        <v>4.5467976162631052</v>
      </c>
      <c r="P167" s="7">
        <f t="shared" si="17"/>
        <v>8.8421486174529412E-2</v>
      </c>
      <c r="Q167" s="7">
        <f t="shared" si="20"/>
        <v>2.0543383197909146</v>
      </c>
    </row>
    <row r="168" spans="1:17" x14ac:dyDescent="0.3">
      <c r="A168" t="s">
        <v>178</v>
      </c>
      <c r="B168" t="s">
        <v>258</v>
      </c>
      <c r="C168" t="str">
        <f t="shared" si="19"/>
        <v>Digital</v>
      </c>
      <c r="D168">
        <v>2021</v>
      </c>
      <c r="E168" s="1">
        <v>14139.59</v>
      </c>
      <c r="F168" s="1">
        <v>10731.67</v>
      </c>
      <c r="G168" s="1">
        <v>14783.68</v>
      </c>
      <c r="H168" s="1">
        <v>-73.53</v>
      </c>
      <c r="I168" s="1">
        <v>408.86</v>
      </c>
      <c r="J168" s="3">
        <v>0</v>
      </c>
      <c r="K168" s="3">
        <v>0</v>
      </c>
      <c r="L168" t="s">
        <v>250</v>
      </c>
      <c r="M168" t="s">
        <v>256</v>
      </c>
      <c r="N168" s="8">
        <f t="shared" si="15"/>
        <v>104.55522401993269</v>
      </c>
      <c r="O168" s="7">
        <f t="shared" si="16"/>
        <v>0.75898028160646813</v>
      </c>
      <c r="P168" s="7">
        <f t="shared" si="17"/>
        <v>2.8915972811092826E-2</v>
      </c>
      <c r="Q168" s="7">
        <f t="shared" si="20"/>
        <v>-5.2002922291240414E-3</v>
      </c>
    </row>
    <row r="169" spans="1:17" x14ac:dyDescent="0.3">
      <c r="A169" t="s">
        <v>179</v>
      </c>
      <c r="B169" t="s">
        <v>258</v>
      </c>
      <c r="C169" t="str">
        <f t="shared" si="19"/>
        <v>Digital</v>
      </c>
      <c r="D169">
        <v>2022</v>
      </c>
      <c r="E169" s="1">
        <v>7847.27</v>
      </c>
      <c r="F169" s="1">
        <v>3473.05</v>
      </c>
      <c r="G169" s="1">
        <v>10897.19</v>
      </c>
      <c r="H169" s="1">
        <v>650.65</v>
      </c>
      <c r="I169" s="1">
        <v>139.08000000000001</v>
      </c>
      <c r="J169" s="3">
        <v>2465</v>
      </c>
      <c r="K169" s="3">
        <v>0</v>
      </c>
      <c r="L169" t="s">
        <v>251</v>
      </c>
      <c r="M169" t="s">
        <v>257</v>
      </c>
      <c r="N169" s="8">
        <f t="shared" si="15"/>
        <v>138.86600053266932</v>
      </c>
      <c r="O169" s="7">
        <f t="shared" si="16"/>
        <v>0.4425806681814185</v>
      </c>
      <c r="P169" s="7">
        <f t="shared" si="17"/>
        <v>1.772336111794293E-2</v>
      </c>
      <c r="Q169" s="7">
        <f t="shared" si="20"/>
        <v>8.291418544283552E-2</v>
      </c>
    </row>
    <row r="170" spans="1:17" x14ac:dyDescent="0.3">
      <c r="A170" t="s">
        <v>180</v>
      </c>
      <c r="B170" t="s">
        <v>258</v>
      </c>
      <c r="C170" t="str">
        <f t="shared" si="19"/>
        <v>Digital</v>
      </c>
      <c r="D170">
        <v>2023</v>
      </c>
      <c r="E170" s="1">
        <v>6747.39</v>
      </c>
      <c r="F170" s="1">
        <v>6078.68</v>
      </c>
      <c r="G170" s="1">
        <v>1857.69</v>
      </c>
      <c r="H170" s="1">
        <v>2947.66</v>
      </c>
      <c r="I170" s="1">
        <v>225.79</v>
      </c>
      <c r="J170" s="3">
        <v>0</v>
      </c>
      <c r="K170" s="3">
        <v>0</v>
      </c>
      <c r="L170" t="s">
        <v>251</v>
      </c>
      <c r="M170" t="s">
        <v>257</v>
      </c>
      <c r="N170" s="8">
        <f t="shared" si="15"/>
        <v>27.531979031892327</v>
      </c>
      <c r="O170" s="7">
        <f t="shared" si="16"/>
        <v>0.90089353068371625</v>
      </c>
      <c r="P170" s="7">
        <f t="shared" si="17"/>
        <v>3.3463309516716833E-2</v>
      </c>
      <c r="Q170" s="7">
        <f t="shared" si="20"/>
        <v>0.43685928929556461</v>
      </c>
    </row>
    <row r="171" spans="1:17" x14ac:dyDescent="0.3">
      <c r="A171" t="s">
        <v>181</v>
      </c>
      <c r="B171" t="s">
        <v>258</v>
      </c>
      <c r="C171" t="str">
        <f t="shared" si="19"/>
        <v>Digital</v>
      </c>
      <c r="D171">
        <v>2024</v>
      </c>
      <c r="E171" s="1">
        <v>2283.2199999999998</v>
      </c>
      <c r="F171" s="1">
        <v>14522.78</v>
      </c>
      <c r="G171" s="1">
        <v>11875.4</v>
      </c>
      <c r="H171" s="1">
        <v>5385.96</v>
      </c>
      <c r="I171" s="1">
        <v>134.12</v>
      </c>
      <c r="J171" s="3">
        <v>3522</v>
      </c>
      <c r="K171" s="3">
        <v>1291</v>
      </c>
      <c r="L171" t="s">
        <v>253</v>
      </c>
      <c r="M171" t="s">
        <v>255</v>
      </c>
      <c r="N171" s="8">
        <f t="shared" si="15"/>
        <v>520.11632694177524</v>
      </c>
      <c r="O171" s="7">
        <f t="shared" si="16"/>
        <v>6.3606573172975018</v>
      </c>
      <c r="P171" s="7">
        <f t="shared" si="17"/>
        <v>5.8741601772934721E-2</v>
      </c>
      <c r="Q171" s="7">
        <f t="shared" si="20"/>
        <v>2.358931684200384</v>
      </c>
    </row>
    <row r="172" spans="1:17" x14ac:dyDescent="0.3">
      <c r="A172" t="s">
        <v>182</v>
      </c>
      <c r="B172" t="s">
        <v>268</v>
      </c>
      <c r="C172" t="str">
        <f t="shared" si="19"/>
        <v>Digital</v>
      </c>
      <c r="D172">
        <v>2015</v>
      </c>
      <c r="E172" s="1">
        <v>24989.51</v>
      </c>
      <c r="F172" s="1">
        <v>8724.7900000000009</v>
      </c>
      <c r="G172" s="1">
        <v>5079.09</v>
      </c>
      <c r="H172" s="1">
        <v>4648.42</v>
      </c>
      <c r="I172" s="1">
        <v>126.69</v>
      </c>
      <c r="J172" s="3">
        <v>4021</v>
      </c>
      <c r="K172" s="3">
        <v>0</v>
      </c>
      <c r="L172" t="s">
        <v>251</v>
      </c>
      <c r="M172" t="s">
        <v>257</v>
      </c>
      <c r="N172" s="8">
        <f t="shared" si="15"/>
        <v>20.324888323140392</v>
      </c>
      <c r="O172" s="7">
        <f t="shared" si="16"/>
        <v>0.34913809834606607</v>
      </c>
      <c r="P172" s="7">
        <f t="shared" si="17"/>
        <v>5.0697272575572711E-3</v>
      </c>
      <c r="Q172" s="7">
        <f t="shared" si="20"/>
        <v>0.18601485183182864</v>
      </c>
    </row>
    <row r="173" spans="1:17" x14ac:dyDescent="0.3">
      <c r="A173" t="s">
        <v>183</v>
      </c>
      <c r="B173" t="s">
        <v>268</v>
      </c>
      <c r="C173" t="str">
        <f t="shared" si="19"/>
        <v>Digital</v>
      </c>
      <c r="D173">
        <v>2016</v>
      </c>
      <c r="E173" s="1">
        <v>9311.2900000000009</v>
      </c>
      <c r="F173" s="1">
        <v>15914.05</v>
      </c>
      <c r="G173" s="1">
        <v>9480.2800000000007</v>
      </c>
      <c r="H173" s="1">
        <v>6830.98</v>
      </c>
      <c r="I173" s="1">
        <v>434.84</v>
      </c>
      <c r="J173" s="3">
        <v>0</v>
      </c>
      <c r="K173" s="3">
        <v>0</v>
      </c>
      <c r="L173" t="s">
        <v>251</v>
      </c>
      <c r="M173" t="s">
        <v>255</v>
      </c>
      <c r="N173" s="8">
        <f t="shared" si="15"/>
        <v>101.81489353247508</v>
      </c>
      <c r="O173" s="7">
        <f t="shared" si="16"/>
        <v>1.709113345197067</v>
      </c>
      <c r="P173" s="7">
        <f t="shared" si="17"/>
        <v>4.6700296092163376E-2</v>
      </c>
      <c r="Q173" s="7">
        <f t="shared" si="20"/>
        <v>0.73362337549362111</v>
      </c>
    </row>
    <row r="174" spans="1:17" x14ac:dyDescent="0.3">
      <c r="A174" t="s">
        <v>184</v>
      </c>
      <c r="B174" t="s">
        <v>268</v>
      </c>
      <c r="C174" t="str">
        <f t="shared" si="19"/>
        <v>Digital</v>
      </c>
      <c r="D174">
        <v>2017</v>
      </c>
      <c r="E174" s="1">
        <v>4075.11</v>
      </c>
      <c r="F174" s="1">
        <v>4841.78</v>
      </c>
      <c r="G174" s="1">
        <v>18714.740000000002</v>
      </c>
      <c r="H174" s="1">
        <v>4370.57</v>
      </c>
      <c r="I174" s="1">
        <v>253.46</v>
      </c>
      <c r="J174" s="3">
        <v>0</v>
      </c>
      <c r="K174" s="3">
        <v>1401</v>
      </c>
      <c r="L174" t="s">
        <v>251</v>
      </c>
      <c r="M174" t="s">
        <v>257</v>
      </c>
      <c r="N174" s="8">
        <f t="shared" si="15"/>
        <v>459.24502651462171</v>
      </c>
      <c r="O174" s="7">
        <f t="shared" si="16"/>
        <v>1.1881347988152466</v>
      </c>
      <c r="P174" s="7">
        <f t="shared" si="17"/>
        <v>6.2197094066172444E-2</v>
      </c>
      <c r="Q174" s="7">
        <f t="shared" si="20"/>
        <v>1.0725035643209631</v>
      </c>
    </row>
    <row r="175" spans="1:17" x14ac:dyDescent="0.3">
      <c r="A175" t="s">
        <v>185</v>
      </c>
      <c r="B175" t="s">
        <v>268</v>
      </c>
      <c r="C175" t="str">
        <f t="shared" si="19"/>
        <v>Digital</v>
      </c>
      <c r="D175">
        <v>2018</v>
      </c>
      <c r="E175" s="1">
        <v>16537.900000000001</v>
      </c>
      <c r="F175" s="1">
        <v>12390.27</v>
      </c>
      <c r="G175" s="1">
        <v>5369.34</v>
      </c>
      <c r="H175" s="1">
        <v>7037.51</v>
      </c>
      <c r="I175" s="1">
        <v>580.07000000000005</v>
      </c>
      <c r="J175" s="3">
        <v>8137</v>
      </c>
      <c r="K175" s="3">
        <v>0</v>
      </c>
      <c r="L175" t="s">
        <v>253</v>
      </c>
      <c r="M175" t="s">
        <v>255</v>
      </c>
      <c r="N175" s="8">
        <f t="shared" si="15"/>
        <v>32.466879107988319</v>
      </c>
      <c r="O175" s="7">
        <f t="shared" si="16"/>
        <v>0.74920455438719546</v>
      </c>
      <c r="P175" s="7">
        <f t="shared" si="17"/>
        <v>3.5075190925087221E-2</v>
      </c>
      <c r="Q175" s="7">
        <f t="shared" si="20"/>
        <v>0.42553830897514194</v>
      </c>
    </row>
    <row r="176" spans="1:17" x14ac:dyDescent="0.3">
      <c r="A176" t="s">
        <v>186</v>
      </c>
      <c r="B176" t="s">
        <v>268</v>
      </c>
      <c r="C176" t="str">
        <f t="shared" si="19"/>
        <v>Digital</v>
      </c>
      <c r="D176">
        <v>2019</v>
      </c>
      <c r="E176" s="1">
        <v>22964.04</v>
      </c>
      <c r="F176" s="1">
        <v>9850.0400000000009</v>
      </c>
      <c r="G176" s="1">
        <v>12943.65</v>
      </c>
      <c r="H176" s="1">
        <v>-1353.95</v>
      </c>
      <c r="I176" s="1">
        <v>25.13</v>
      </c>
      <c r="J176" s="3">
        <v>0</v>
      </c>
      <c r="K176" s="3">
        <v>0</v>
      </c>
      <c r="L176" t="s">
        <v>253</v>
      </c>
      <c r="M176" t="s">
        <v>257</v>
      </c>
      <c r="N176" s="8">
        <f t="shared" si="15"/>
        <v>56.364864370555004</v>
      </c>
      <c r="O176" s="7">
        <f t="shared" si="16"/>
        <v>0.42893323648626291</v>
      </c>
      <c r="P176" s="7">
        <f t="shared" si="17"/>
        <v>1.0943196406207269E-3</v>
      </c>
      <c r="Q176" s="7">
        <f t="shared" si="20"/>
        <v>-5.8959573315496748E-2</v>
      </c>
    </row>
    <row r="177" spans="1:17" x14ac:dyDescent="0.3">
      <c r="A177" t="s">
        <v>187</v>
      </c>
      <c r="B177" t="s">
        <v>268</v>
      </c>
      <c r="C177" t="str">
        <f t="shared" si="19"/>
        <v>Digital</v>
      </c>
      <c r="D177">
        <v>2020</v>
      </c>
      <c r="E177" s="1">
        <v>723.97</v>
      </c>
      <c r="F177" s="1">
        <v>9202.0499999999993</v>
      </c>
      <c r="G177" s="1">
        <v>7652.05</v>
      </c>
      <c r="H177" s="1">
        <v>4796.1899999999996</v>
      </c>
      <c r="I177" s="1">
        <v>401.72</v>
      </c>
      <c r="J177" s="3">
        <v>8016</v>
      </c>
      <c r="K177" s="3">
        <v>114</v>
      </c>
      <c r="L177" t="s">
        <v>250</v>
      </c>
      <c r="M177" t="s">
        <v>257</v>
      </c>
      <c r="N177" s="8">
        <f t="shared" si="15"/>
        <v>1056.9567799770709</v>
      </c>
      <c r="O177" s="7">
        <f t="shared" si="16"/>
        <v>12.710540492009336</v>
      </c>
      <c r="P177" s="7">
        <f t="shared" si="17"/>
        <v>0.55488487092006578</v>
      </c>
      <c r="Q177" s="7">
        <f t="shared" si="20"/>
        <v>6.6248463334116048</v>
      </c>
    </row>
    <row r="178" spans="1:17" x14ac:dyDescent="0.3">
      <c r="A178" t="s">
        <v>188</v>
      </c>
      <c r="B178" t="s">
        <v>268</v>
      </c>
      <c r="C178" t="str">
        <f t="shared" si="19"/>
        <v>Digital</v>
      </c>
      <c r="D178">
        <v>2021</v>
      </c>
      <c r="E178" s="1">
        <v>18193.72</v>
      </c>
      <c r="F178" s="1">
        <v>9736.14</v>
      </c>
      <c r="G178" s="1">
        <v>5947.76</v>
      </c>
      <c r="H178" s="1">
        <v>3524.38</v>
      </c>
      <c r="I178" s="1">
        <v>420.23</v>
      </c>
      <c r="J178" s="3">
        <v>0</v>
      </c>
      <c r="K178" s="3">
        <v>488</v>
      </c>
      <c r="L178" t="s">
        <v>250</v>
      </c>
      <c r="M178" t="s">
        <v>255</v>
      </c>
      <c r="N178" s="8">
        <f t="shared" si="15"/>
        <v>32.691280287923526</v>
      </c>
      <c r="O178" s="7">
        <f t="shared" si="16"/>
        <v>0.53513739905857616</v>
      </c>
      <c r="P178" s="7">
        <f t="shared" si="17"/>
        <v>2.3097530356628551E-2</v>
      </c>
      <c r="Q178" s="7">
        <f t="shared" si="20"/>
        <v>0.19371409475357432</v>
      </c>
    </row>
    <row r="179" spans="1:17" x14ac:dyDescent="0.3">
      <c r="A179" t="s">
        <v>189</v>
      </c>
      <c r="B179" t="s">
        <v>268</v>
      </c>
      <c r="C179" t="str">
        <f t="shared" si="19"/>
        <v>Digital</v>
      </c>
      <c r="D179">
        <v>2022</v>
      </c>
      <c r="E179" s="1">
        <v>6684.25</v>
      </c>
      <c r="F179" s="1">
        <v>6509.05</v>
      </c>
      <c r="G179" s="1">
        <v>15960.25</v>
      </c>
      <c r="H179" s="1">
        <v>-1130.79</v>
      </c>
      <c r="I179" s="1">
        <v>575.78</v>
      </c>
      <c r="J179" s="3">
        <v>0</v>
      </c>
      <c r="K179" s="3">
        <v>2905</v>
      </c>
      <c r="L179" t="s">
        <v>251</v>
      </c>
      <c r="M179" t="s">
        <v>257</v>
      </c>
      <c r="N179" s="8">
        <f t="shared" si="15"/>
        <v>238.77398361820696</v>
      </c>
      <c r="O179" s="7">
        <f t="shared" si="16"/>
        <v>0.97378913116654831</v>
      </c>
      <c r="P179" s="7">
        <f t="shared" si="17"/>
        <v>8.6139806260986648E-2</v>
      </c>
      <c r="Q179" s="7">
        <f t="shared" si="20"/>
        <v>-0.16917230803755096</v>
      </c>
    </row>
    <row r="180" spans="1:17" x14ac:dyDescent="0.3">
      <c r="A180" t="s">
        <v>190</v>
      </c>
      <c r="B180" t="s">
        <v>268</v>
      </c>
      <c r="C180" t="str">
        <f t="shared" si="19"/>
        <v>Digital</v>
      </c>
      <c r="D180">
        <v>2023</v>
      </c>
      <c r="E180" s="1">
        <v>24796.03</v>
      </c>
      <c r="F180" s="1">
        <v>11768.12</v>
      </c>
      <c r="G180" s="1">
        <v>924.18</v>
      </c>
      <c r="H180" s="1">
        <v>2458.06</v>
      </c>
      <c r="I180" s="1">
        <v>229.42</v>
      </c>
      <c r="J180" s="3">
        <v>0</v>
      </c>
      <c r="K180" s="3">
        <v>2658</v>
      </c>
      <c r="L180" t="s">
        <v>253</v>
      </c>
      <c r="M180" t="s">
        <v>255</v>
      </c>
      <c r="N180" s="8">
        <f t="shared" si="15"/>
        <v>3.7271288992633091</v>
      </c>
      <c r="O180" s="7">
        <f t="shared" si="16"/>
        <v>0.47459694152652671</v>
      </c>
      <c r="P180" s="7">
        <f t="shared" si="17"/>
        <v>9.2522875637753299E-3</v>
      </c>
      <c r="Q180" s="7">
        <f t="shared" si="20"/>
        <v>9.913119156574661E-2</v>
      </c>
    </row>
    <row r="181" spans="1:17" x14ac:dyDescent="0.3">
      <c r="A181" t="s">
        <v>191</v>
      </c>
      <c r="B181" t="s">
        <v>268</v>
      </c>
      <c r="C181" t="str">
        <f t="shared" si="19"/>
        <v>Digital</v>
      </c>
      <c r="D181">
        <v>2024</v>
      </c>
      <c r="E181" s="1">
        <v>19717.22</v>
      </c>
      <c r="F181" s="1">
        <v>10272.25</v>
      </c>
      <c r="G181" s="1">
        <v>17201.82</v>
      </c>
      <c r="H181" s="1">
        <v>-951.02</v>
      </c>
      <c r="I181" s="1">
        <v>319.25</v>
      </c>
      <c r="J181" s="3">
        <v>0</v>
      </c>
      <c r="K181" s="3">
        <v>0</v>
      </c>
      <c r="L181" t="s">
        <v>251</v>
      </c>
      <c r="M181" t="s">
        <v>255</v>
      </c>
      <c r="N181" s="8">
        <f t="shared" si="15"/>
        <v>87.242623453001983</v>
      </c>
      <c r="O181" s="7">
        <f t="shared" si="16"/>
        <v>0.52097861666096945</v>
      </c>
      <c r="P181" s="7">
        <f t="shared" si="17"/>
        <v>1.619143063778768E-2</v>
      </c>
      <c r="Q181" s="7">
        <f t="shared" si="20"/>
        <v>-4.82329659049298E-2</v>
      </c>
    </row>
    <row r="182" spans="1:17" x14ac:dyDescent="0.3">
      <c r="A182" t="s">
        <v>192</v>
      </c>
      <c r="B182" t="s">
        <v>269</v>
      </c>
      <c r="C182" t="str">
        <f t="shared" si="19"/>
        <v>Digital</v>
      </c>
      <c r="D182">
        <v>2015</v>
      </c>
      <c r="E182" s="1">
        <v>7369.14</v>
      </c>
      <c r="F182" s="1">
        <v>9865.9500000000007</v>
      </c>
      <c r="G182" s="1">
        <v>13264.75</v>
      </c>
      <c r="H182" s="1">
        <v>-27.1</v>
      </c>
      <c r="I182" s="1">
        <v>511</v>
      </c>
      <c r="J182" s="3">
        <v>0</v>
      </c>
      <c r="K182" s="3">
        <v>2454</v>
      </c>
      <c r="L182" t="s">
        <v>251</v>
      </c>
      <c r="M182" t="s">
        <v>255</v>
      </c>
      <c r="N182" s="8">
        <f t="shared" si="15"/>
        <v>180.00404389114604</v>
      </c>
      <c r="O182" s="7">
        <f t="shared" si="16"/>
        <v>1.3388197265895343</v>
      </c>
      <c r="P182" s="7">
        <f t="shared" si="17"/>
        <v>6.9343234081588892E-2</v>
      </c>
      <c r="Q182" s="7">
        <f t="shared" si="20"/>
        <v>-3.6774983240920921E-3</v>
      </c>
    </row>
    <row r="183" spans="1:17" x14ac:dyDescent="0.3">
      <c r="A183" t="s">
        <v>193</v>
      </c>
      <c r="B183" t="s">
        <v>269</v>
      </c>
      <c r="C183" t="str">
        <f t="shared" si="19"/>
        <v>Digital</v>
      </c>
      <c r="D183">
        <v>2016</v>
      </c>
      <c r="E183" s="1">
        <v>14384.05</v>
      </c>
      <c r="F183" s="1">
        <v>15320.08</v>
      </c>
      <c r="G183" s="1">
        <v>13637.59</v>
      </c>
      <c r="H183" s="1">
        <v>3946.19</v>
      </c>
      <c r="I183" s="1">
        <v>233.39</v>
      </c>
      <c r="J183" s="3">
        <v>0</v>
      </c>
      <c r="K183" s="3">
        <v>0</v>
      </c>
      <c r="L183" t="s">
        <v>250</v>
      </c>
      <c r="M183" t="s">
        <v>255</v>
      </c>
      <c r="N183" s="8">
        <f t="shared" si="15"/>
        <v>94.81050191010182</v>
      </c>
      <c r="O183" s="7">
        <f t="shared" si="16"/>
        <v>1.0650741620058328</v>
      </c>
      <c r="P183" s="7">
        <f t="shared" si="17"/>
        <v>1.6225611006635821E-2</v>
      </c>
      <c r="Q183" s="7">
        <f t="shared" si="20"/>
        <v>0.27434484724399599</v>
      </c>
    </row>
    <row r="184" spans="1:17" x14ac:dyDescent="0.3">
      <c r="A184" t="s">
        <v>194</v>
      </c>
      <c r="B184" t="s">
        <v>269</v>
      </c>
      <c r="C184" t="str">
        <f t="shared" si="19"/>
        <v>Digital</v>
      </c>
      <c r="D184">
        <v>2017</v>
      </c>
      <c r="E184" s="1">
        <v>8844.52</v>
      </c>
      <c r="F184" s="1">
        <v>13888.3</v>
      </c>
      <c r="G184" s="1">
        <v>19110.71</v>
      </c>
      <c r="H184" s="1">
        <v>2363.73</v>
      </c>
      <c r="I184" s="1">
        <v>465.27</v>
      </c>
      <c r="J184" s="3">
        <v>585</v>
      </c>
      <c r="K184" s="3">
        <v>0</v>
      </c>
      <c r="L184" t="s">
        <v>253</v>
      </c>
      <c r="M184" t="s">
        <v>256</v>
      </c>
      <c r="N184" s="8">
        <f t="shared" si="15"/>
        <v>216.07402097570017</v>
      </c>
      <c r="O184" s="7">
        <f t="shared" si="16"/>
        <v>1.5702717614975148</v>
      </c>
      <c r="P184" s="7">
        <f t="shared" si="17"/>
        <v>5.2605455129277785E-2</v>
      </c>
      <c r="Q184" s="7">
        <f t="shared" si="20"/>
        <v>0.26725362145147502</v>
      </c>
    </row>
    <row r="185" spans="1:17" x14ac:dyDescent="0.3">
      <c r="A185" t="s">
        <v>195</v>
      </c>
      <c r="B185" t="s">
        <v>269</v>
      </c>
      <c r="C185" t="str">
        <f t="shared" si="19"/>
        <v>Digital</v>
      </c>
      <c r="D185">
        <v>2018</v>
      </c>
      <c r="E185" s="1">
        <v>5050.58</v>
      </c>
      <c r="F185" s="1">
        <v>10628.58</v>
      </c>
      <c r="G185" s="1">
        <v>7787.43</v>
      </c>
      <c r="H185" s="1">
        <v>6493.84</v>
      </c>
      <c r="I185" s="1">
        <v>180.75</v>
      </c>
      <c r="J185" s="3">
        <v>0</v>
      </c>
      <c r="K185" s="3">
        <v>0</v>
      </c>
      <c r="L185" t="s">
        <v>253</v>
      </c>
      <c r="M185" t="s">
        <v>256</v>
      </c>
      <c r="N185" s="8">
        <f t="shared" si="15"/>
        <v>154.1888258378246</v>
      </c>
      <c r="O185" s="7">
        <f t="shared" si="16"/>
        <v>2.1044276102942634</v>
      </c>
      <c r="P185" s="7">
        <f t="shared" si="17"/>
        <v>3.5787968906541429E-2</v>
      </c>
      <c r="Q185" s="7">
        <f t="shared" si="20"/>
        <v>1.2857612393032087</v>
      </c>
    </row>
    <row r="186" spans="1:17" x14ac:dyDescent="0.3">
      <c r="A186" t="s">
        <v>196</v>
      </c>
      <c r="B186" t="s">
        <v>269</v>
      </c>
      <c r="C186" t="str">
        <f t="shared" si="19"/>
        <v>Digital</v>
      </c>
      <c r="D186">
        <v>2019</v>
      </c>
      <c r="E186" s="1">
        <v>18621.55</v>
      </c>
      <c r="F186" s="1">
        <v>5836.87</v>
      </c>
      <c r="G186" s="1">
        <v>2399.0500000000002</v>
      </c>
      <c r="H186" s="1">
        <v>-1942.85</v>
      </c>
      <c r="I186" s="1">
        <v>188.42</v>
      </c>
      <c r="J186" s="3">
        <v>5996</v>
      </c>
      <c r="K186" s="3">
        <v>468</v>
      </c>
      <c r="L186" t="s">
        <v>250</v>
      </c>
      <c r="M186" t="s">
        <v>255</v>
      </c>
      <c r="N186" s="8">
        <f t="shared" si="15"/>
        <v>12.883191785861007</v>
      </c>
      <c r="O186" s="7">
        <f t="shared" si="16"/>
        <v>0.31344705462219846</v>
      </c>
      <c r="P186" s="7">
        <f t="shared" si="17"/>
        <v>1.0118384345019615E-2</v>
      </c>
      <c r="Q186" s="7">
        <f t="shared" si="20"/>
        <v>-0.10433342015030972</v>
      </c>
    </row>
    <row r="187" spans="1:17" x14ac:dyDescent="0.3">
      <c r="A187" t="s">
        <v>197</v>
      </c>
      <c r="B187" t="s">
        <v>269</v>
      </c>
      <c r="C187" t="str">
        <f t="shared" si="19"/>
        <v>Digital</v>
      </c>
      <c r="D187">
        <v>2020</v>
      </c>
      <c r="E187" s="1">
        <v>13054.8</v>
      </c>
      <c r="F187" s="1">
        <v>2038.61</v>
      </c>
      <c r="G187" s="1">
        <v>2065.4899999999998</v>
      </c>
      <c r="H187" s="1">
        <v>4096.42</v>
      </c>
      <c r="I187" s="1">
        <v>360.17</v>
      </c>
      <c r="J187" s="3">
        <v>5415</v>
      </c>
      <c r="K187" s="3">
        <v>0</v>
      </c>
      <c r="L187" t="s">
        <v>251</v>
      </c>
      <c r="M187" t="s">
        <v>256</v>
      </c>
      <c r="N187" s="8">
        <f t="shared" si="15"/>
        <v>15.821690106321046</v>
      </c>
      <c r="O187" s="7">
        <f t="shared" si="16"/>
        <v>0.15615788828630084</v>
      </c>
      <c r="P187" s="7">
        <f t="shared" si="17"/>
        <v>2.7589086006679538E-2</v>
      </c>
      <c r="Q187" s="7">
        <f t="shared" si="20"/>
        <v>0.31378649998468</v>
      </c>
    </row>
    <row r="188" spans="1:17" x14ac:dyDescent="0.3">
      <c r="A188" t="s">
        <v>198</v>
      </c>
      <c r="B188" t="s">
        <v>269</v>
      </c>
      <c r="C188" t="str">
        <f t="shared" si="19"/>
        <v>Digital</v>
      </c>
      <c r="D188">
        <v>2021</v>
      </c>
      <c r="E188" s="1">
        <v>14208.65</v>
      </c>
      <c r="F188" s="1">
        <v>17870.599999999999</v>
      </c>
      <c r="G188" s="1">
        <v>5082.03</v>
      </c>
      <c r="H188" s="1">
        <v>3732.15</v>
      </c>
      <c r="I188" s="1">
        <v>412.76</v>
      </c>
      <c r="J188" s="3">
        <v>0</v>
      </c>
      <c r="K188" s="3">
        <v>0</v>
      </c>
      <c r="L188" t="s">
        <v>251</v>
      </c>
      <c r="M188" t="s">
        <v>256</v>
      </c>
      <c r="N188" s="8">
        <f t="shared" si="15"/>
        <v>35.767155922624596</v>
      </c>
      <c r="O188" s="7">
        <f t="shared" si="16"/>
        <v>1.2577268072617735</v>
      </c>
      <c r="P188" s="7">
        <f t="shared" si="17"/>
        <v>2.9049909738082084E-2</v>
      </c>
      <c r="Q188" s="7">
        <f t="shared" si="20"/>
        <v>0.26266745961087085</v>
      </c>
    </row>
    <row r="189" spans="1:17" x14ac:dyDescent="0.3">
      <c r="A189" t="s">
        <v>199</v>
      </c>
      <c r="B189" t="s">
        <v>269</v>
      </c>
      <c r="C189" t="str">
        <f t="shared" si="19"/>
        <v>Digital</v>
      </c>
      <c r="D189">
        <v>2022</v>
      </c>
      <c r="E189" s="1">
        <v>7261.07</v>
      </c>
      <c r="F189" s="1">
        <v>5535.59</v>
      </c>
      <c r="G189" s="1">
        <v>15718.53</v>
      </c>
      <c r="H189" s="1">
        <v>1972.37</v>
      </c>
      <c r="I189" s="1">
        <v>566.80999999999995</v>
      </c>
      <c r="J189" s="3">
        <v>0</v>
      </c>
      <c r="K189" s="3">
        <v>1925</v>
      </c>
      <c r="L189" t="s">
        <v>253</v>
      </c>
      <c r="M189" t="s">
        <v>256</v>
      </c>
      <c r="N189" s="8">
        <f t="shared" si="15"/>
        <v>216.47677270705285</v>
      </c>
      <c r="O189" s="7">
        <f t="shared" si="16"/>
        <v>0.76236560176392743</v>
      </c>
      <c r="P189" s="7">
        <f t="shared" si="17"/>
        <v>7.8061497823323556E-2</v>
      </c>
      <c r="Q189" s="7">
        <f t="shared" si="20"/>
        <v>0.27163627399267598</v>
      </c>
    </row>
    <row r="190" spans="1:17" x14ac:dyDescent="0.3">
      <c r="A190" t="s">
        <v>200</v>
      </c>
      <c r="B190" t="s">
        <v>269</v>
      </c>
      <c r="C190" t="str">
        <f t="shared" si="19"/>
        <v>Digital</v>
      </c>
      <c r="D190">
        <v>2023</v>
      </c>
      <c r="E190" s="1">
        <v>21119.53</v>
      </c>
      <c r="F190" s="1">
        <v>6962.04</v>
      </c>
      <c r="G190" s="1">
        <v>17285.310000000001</v>
      </c>
      <c r="H190" s="1">
        <v>2842.45</v>
      </c>
      <c r="I190" s="1">
        <v>261.22000000000003</v>
      </c>
      <c r="J190" s="3">
        <v>2330</v>
      </c>
      <c r="K190" s="3">
        <v>1363</v>
      </c>
      <c r="L190" t="s">
        <v>251</v>
      </c>
      <c r="M190" t="s">
        <v>256</v>
      </c>
      <c r="N190" s="8">
        <f t="shared" si="15"/>
        <v>81.845145228137199</v>
      </c>
      <c r="O190" s="7">
        <f t="shared" si="16"/>
        <v>0.32964938140195355</v>
      </c>
      <c r="P190" s="7">
        <f t="shared" si="17"/>
        <v>1.2368646461355912E-2</v>
      </c>
      <c r="Q190" s="7">
        <f t="shared" si="20"/>
        <v>0.13458869586586444</v>
      </c>
    </row>
    <row r="191" spans="1:17" x14ac:dyDescent="0.3">
      <c r="A191" t="s">
        <v>201</v>
      </c>
      <c r="B191" t="s">
        <v>269</v>
      </c>
      <c r="C191" t="str">
        <f t="shared" si="19"/>
        <v>Digital</v>
      </c>
      <c r="D191">
        <v>2024</v>
      </c>
      <c r="E191" s="1">
        <v>8318.8700000000008</v>
      </c>
      <c r="F191" s="1">
        <v>13280.76</v>
      </c>
      <c r="G191" s="1">
        <v>12768.18</v>
      </c>
      <c r="H191" s="1">
        <v>8645.39</v>
      </c>
      <c r="I191" s="1">
        <v>470.27</v>
      </c>
      <c r="J191" s="3">
        <v>5439</v>
      </c>
      <c r="K191" s="3">
        <v>0</v>
      </c>
      <c r="L191" t="s">
        <v>251</v>
      </c>
      <c r="M191" t="s">
        <v>255</v>
      </c>
      <c r="N191" s="8">
        <f t="shared" si="15"/>
        <v>153.48454778112892</v>
      </c>
      <c r="O191" s="7">
        <f t="shared" si="16"/>
        <v>1.5964620194810111</v>
      </c>
      <c r="P191" s="7">
        <f t="shared" si="17"/>
        <v>5.6530514360724468E-2</v>
      </c>
      <c r="Q191" s="7">
        <f t="shared" si="20"/>
        <v>1.0392505232080798</v>
      </c>
    </row>
    <row r="192" spans="1:17" x14ac:dyDescent="0.3">
      <c r="A192" t="s">
        <v>202</v>
      </c>
      <c r="B192" t="s">
        <v>242</v>
      </c>
      <c r="C192" t="str">
        <f t="shared" si="19"/>
        <v>Digital</v>
      </c>
      <c r="D192">
        <v>2015</v>
      </c>
      <c r="E192" s="1">
        <v>24932.99</v>
      </c>
      <c r="F192" s="1">
        <v>3402.7</v>
      </c>
      <c r="G192" s="1">
        <v>15422.07</v>
      </c>
      <c r="H192" s="1">
        <v>-1703.92</v>
      </c>
      <c r="I192" s="1">
        <v>437.69</v>
      </c>
      <c r="J192" s="3">
        <v>3534</v>
      </c>
      <c r="K192" s="3">
        <v>1243</v>
      </c>
      <c r="L192" t="s">
        <v>251</v>
      </c>
      <c r="M192" t="s">
        <v>257</v>
      </c>
      <c r="N192" s="8">
        <f t="shared" si="15"/>
        <v>61.85407365903567</v>
      </c>
      <c r="O192" s="7">
        <f t="shared" si="16"/>
        <v>0.13647380438527426</v>
      </c>
      <c r="P192" s="7">
        <f t="shared" si="17"/>
        <v>1.7554653493223233E-2</v>
      </c>
      <c r="Q192" s="7">
        <f t="shared" si="20"/>
        <v>-6.8339978478313274E-2</v>
      </c>
    </row>
    <row r="193" spans="1:17" x14ac:dyDescent="0.3">
      <c r="A193" t="s">
        <v>203</v>
      </c>
      <c r="B193" t="s">
        <v>242</v>
      </c>
      <c r="C193" t="str">
        <f t="shared" si="19"/>
        <v>Digital</v>
      </c>
      <c r="D193">
        <v>2016</v>
      </c>
      <c r="E193" s="1">
        <v>6429.52</v>
      </c>
      <c r="F193" s="1">
        <v>11924.2</v>
      </c>
      <c r="G193" s="1">
        <v>14390.16</v>
      </c>
      <c r="H193" s="1">
        <v>6679.84</v>
      </c>
      <c r="I193" s="1">
        <v>49.01</v>
      </c>
      <c r="J193" s="3">
        <v>7951</v>
      </c>
      <c r="K193" s="3">
        <v>0</v>
      </c>
      <c r="L193" t="s">
        <v>250</v>
      </c>
      <c r="M193" t="s">
        <v>255</v>
      </c>
      <c r="N193" s="8">
        <f t="shared" si="15"/>
        <v>223.81390834774601</v>
      </c>
      <c r="O193" s="7">
        <f t="shared" si="16"/>
        <v>1.8546018987420523</v>
      </c>
      <c r="P193" s="7">
        <f t="shared" si="17"/>
        <v>7.6226530129776399E-3</v>
      </c>
      <c r="Q193" s="7">
        <f t="shared" si="20"/>
        <v>1.0389329218977466</v>
      </c>
    </row>
    <row r="194" spans="1:17" x14ac:dyDescent="0.3">
      <c r="A194" t="s">
        <v>204</v>
      </c>
      <c r="B194" t="s">
        <v>242</v>
      </c>
      <c r="C194" t="str">
        <f t="shared" ref="C194:C201" si="21">IF(OR(B194="Atom Bank",B194="Monzo Bank",B194="Starling bank",B194="Revolut UK"),"Digital","Traditional")</f>
        <v>Digital</v>
      </c>
      <c r="D194">
        <v>2017</v>
      </c>
      <c r="E194" s="1">
        <v>22439.79</v>
      </c>
      <c r="F194" s="1">
        <v>9756.93</v>
      </c>
      <c r="G194" s="1">
        <v>12872.15</v>
      </c>
      <c r="H194" s="1">
        <v>-1065.2</v>
      </c>
      <c r="I194" s="1">
        <v>462.53</v>
      </c>
      <c r="J194" s="3">
        <v>0</v>
      </c>
      <c r="K194" s="3">
        <v>2700</v>
      </c>
      <c r="L194" t="s">
        <v>250</v>
      </c>
      <c r="M194" t="s">
        <v>257</v>
      </c>
      <c r="N194" s="8">
        <f t="shared" ref="N194:N201" si="22">G194/E194*100</f>
        <v>57.363059101711734</v>
      </c>
      <c r="O194" s="7">
        <f t="shared" ref="O194:O201" si="23">F194/E194</f>
        <v>0.43480487116858046</v>
      </c>
      <c r="P194" s="7">
        <f t="shared" ref="P194:P201" si="24">I194/E194</f>
        <v>2.0612046725927469E-2</v>
      </c>
      <c r="Q194" s="7">
        <f t="shared" ref="Q194:Q201" si="25">H194/E194</f>
        <v>-4.7469249935048412E-2</v>
      </c>
    </row>
    <row r="195" spans="1:17" x14ac:dyDescent="0.3">
      <c r="A195" t="s">
        <v>205</v>
      </c>
      <c r="B195" t="s">
        <v>242</v>
      </c>
      <c r="C195" t="str">
        <f t="shared" si="21"/>
        <v>Digital</v>
      </c>
      <c r="D195">
        <v>2018</v>
      </c>
      <c r="E195" s="1">
        <v>18940.73</v>
      </c>
      <c r="F195" s="1">
        <v>17389.759999999998</v>
      </c>
      <c r="G195" s="1">
        <v>8779.9699999999993</v>
      </c>
      <c r="H195" s="1">
        <v>-1883.97</v>
      </c>
      <c r="I195" s="1">
        <v>158.94999999999999</v>
      </c>
      <c r="J195" s="3">
        <v>0</v>
      </c>
      <c r="K195" s="3">
        <v>0</v>
      </c>
      <c r="L195" t="s">
        <v>251</v>
      </c>
      <c r="M195" t="s">
        <v>256</v>
      </c>
      <c r="N195" s="8">
        <f t="shared" si="22"/>
        <v>46.354971534888037</v>
      </c>
      <c r="O195" s="7">
        <f t="shared" si="23"/>
        <v>0.91811456052644214</v>
      </c>
      <c r="P195" s="7">
        <f t="shared" si="24"/>
        <v>8.3919679970096191E-3</v>
      </c>
      <c r="Q195" s="7">
        <f t="shared" si="25"/>
        <v>-9.9466599228224054E-2</v>
      </c>
    </row>
    <row r="196" spans="1:17" x14ac:dyDescent="0.3">
      <c r="A196" t="s">
        <v>206</v>
      </c>
      <c r="B196" t="s">
        <v>242</v>
      </c>
      <c r="C196" t="str">
        <f t="shared" si="21"/>
        <v>Digital</v>
      </c>
      <c r="D196">
        <v>2019</v>
      </c>
      <c r="E196" s="1">
        <v>12761.41</v>
      </c>
      <c r="F196" s="1">
        <v>6340.42</v>
      </c>
      <c r="G196" s="1">
        <v>783.88</v>
      </c>
      <c r="H196" s="1">
        <v>-849.96</v>
      </c>
      <c r="I196" s="1">
        <v>252.51</v>
      </c>
      <c r="J196" s="3">
        <v>0</v>
      </c>
      <c r="K196" s="3">
        <v>0</v>
      </c>
      <c r="L196" t="s">
        <v>251</v>
      </c>
      <c r="M196" t="s">
        <v>256</v>
      </c>
      <c r="N196" s="8">
        <f t="shared" si="22"/>
        <v>6.142581423212639</v>
      </c>
      <c r="O196" s="7">
        <f t="shared" si="23"/>
        <v>0.49684321716800889</v>
      </c>
      <c r="P196" s="7">
        <f t="shared" si="24"/>
        <v>1.9786998458634273E-2</v>
      </c>
      <c r="Q196" s="7">
        <f t="shared" si="25"/>
        <v>-6.6603925428302985E-2</v>
      </c>
    </row>
    <row r="197" spans="1:17" x14ac:dyDescent="0.3">
      <c r="A197" t="s">
        <v>207</v>
      </c>
      <c r="B197" t="s">
        <v>242</v>
      </c>
      <c r="C197" t="str">
        <f t="shared" si="21"/>
        <v>Digital</v>
      </c>
      <c r="D197">
        <v>2020</v>
      </c>
      <c r="E197" s="1">
        <v>12331.69</v>
      </c>
      <c r="F197" s="1">
        <v>8675.69</v>
      </c>
      <c r="G197" s="1">
        <v>8931.8700000000008</v>
      </c>
      <c r="H197" s="1">
        <v>5664.4</v>
      </c>
      <c r="I197" s="1">
        <v>194.75</v>
      </c>
      <c r="J197" s="3">
        <v>0</v>
      </c>
      <c r="K197" s="3">
        <v>2961</v>
      </c>
      <c r="L197" t="s">
        <v>250</v>
      </c>
      <c r="M197" t="s">
        <v>256</v>
      </c>
      <c r="N197" s="8">
        <f t="shared" si="22"/>
        <v>72.430218404776639</v>
      </c>
      <c r="O197" s="7">
        <f t="shared" si="23"/>
        <v>0.70352806468537565</v>
      </c>
      <c r="P197" s="7">
        <f t="shared" si="24"/>
        <v>1.5792644803753579E-2</v>
      </c>
      <c r="Q197" s="7">
        <f t="shared" si="25"/>
        <v>0.45933687921120298</v>
      </c>
    </row>
    <row r="198" spans="1:17" x14ac:dyDescent="0.3">
      <c r="A198" t="s">
        <v>208</v>
      </c>
      <c r="B198" t="s">
        <v>242</v>
      </c>
      <c r="C198" t="str">
        <f t="shared" si="21"/>
        <v>Digital</v>
      </c>
      <c r="D198">
        <v>2021</v>
      </c>
      <c r="E198" s="1">
        <v>4526.68</v>
      </c>
      <c r="F198" s="1">
        <v>17713.43</v>
      </c>
      <c r="G198" s="1">
        <v>5105.09</v>
      </c>
      <c r="H198" s="1">
        <v>-81.010000000000005</v>
      </c>
      <c r="I198" s="1">
        <v>100.28</v>
      </c>
      <c r="J198" s="3">
        <v>7085</v>
      </c>
      <c r="K198" s="3">
        <v>0</v>
      </c>
      <c r="L198" t="s">
        <v>253</v>
      </c>
      <c r="M198" t="s">
        <v>255</v>
      </c>
      <c r="N198" s="8">
        <f t="shared" si="22"/>
        <v>112.77779741444061</v>
      </c>
      <c r="O198" s="7">
        <f t="shared" si="23"/>
        <v>3.9131173398605599</v>
      </c>
      <c r="P198" s="7">
        <f t="shared" si="24"/>
        <v>2.2153101169068719E-2</v>
      </c>
      <c r="Q198" s="7">
        <f t="shared" si="25"/>
        <v>-1.7896118126308907E-2</v>
      </c>
    </row>
    <row r="199" spans="1:17" x14ac:dyDescent="0.3">
      <c r="A199" t="s">
        <v>209</v>
      </c>
      <c r="B199" t="s">
        <v>242</v>
      </c>
      <c r="C199" t="str">
        <f t="shared" si="21"/>
        <v>Digital</v>
      </c>
      <c r="D199">
        <v>2022</v>
      </c>
      <c r="E199" s="1">
        <v>1215.21</v>
      </c>
      <c r="F199" s="1">
        <v>11131.1</v>
      </c>
      <c r="G199" s="1">
        <v>4187.29</v>
      </c>
      <c r="H199" s="1">
        <v>4514.2299999999996</v>
      </c>
      <c r="I199" s="1">
        <v>236.36</v>
      </c>
      <c r="J199" s="3">
        <v>0</v>
      </c>
      <c r="K199" s="3">
        <v>1190</v>
      </c>
      <c r="L199" t="s">
        <v>250</v>
      </c>
      <c r="M199" t="s">
        <v>255</v>
      </c>
      <c r="N199" s="8">
        <f t="shared" si="22"/>
        <v>344.57336592029361</v>
      </c>
      <c r="O199" s="7">
        <f t="shared" si="23"/>
        <v>9.1598159988808519</v>
      </c>
      <c r="P199" s="7">
        <f t="shared" si="24"/>
        <v>0.1945013619045268</v>
      </c>
      <c r="Q199" s="7">
        <f t="shared" si="25"/>
        <v>3.7147735782292766</v>
      </c>
    </row>
    <row r="200" spans="1:17" x14ac:dyDescent="0.3">
      <c r="A200" t="s">
        <v>210</v>
      </c>
      <c r="B200" t="s">
        <v>242</v>
      </c>
      <c r="C200" t="str">
        <f t="shared" si="21"/>
        <v>Digital</v>
      </c>
      <c r="D200">
        <v>2023</v>
      </c>
      <c r="E200" s="1">
        <v>9461.93</v>
      </c>
      <c r="F200" s="1">
        <v>3707.92</v>
      </c>
      <c r="G200" s="1">
        <v>2544.91</v>
      </c>
      <c r="H200" s="1">
        <v>5377.72</v>
      </c>
      <c r="I200" s="1">
        <v>296.24</v>
      </c>
      <c r="J200" s="3">
        <v>5234</v>
      </c>
      <c r="K200" s="3">
        <v>0</v>
      </c>
      <c r="L200" t="s">
        <v>250</v>
      </c>
      <c r="M200" t="s">
        <v>255</v>
      </c>
      <c r="N200" s="8">
        <f t="shared" si="22"/>
        <v>26.896309738076692</v>
      </c>
      <c r="O200" s="7">
        <f t="shared" si="23"/>
        <v>0.39187776700947902</v>
      </c>
      <c r="P200" s="7">
        <f t="shared" si="24"/>
        <v>3.1308623082183025E-2</v>
      </c>
      <c r="Q200" s="7">
        <f t="shared" si="25"/>
        <v>0.56835339090439263</v>
      </c>
    </row>
    <row r="201" spans="1:17" x14ac:dyDescent="0.3">
      <c r="A201" t="s">
        <v>211</v>
      </c>
      <c r="B201" t="s">
        <v>242</v>
      </c>
      <c r="C201" t="str">
        <f t="shared" si="21"/>
        <v>Digital</v>
      </c>
      <c r="D201">
        <v>2024</v>
      </c>
      <c r="E201" s="1">
        <v>15625.39</v>
      </c>
      <c r="F201" s="1">
        <v>14684.54</v>
      </c>
      <c r="G201" s="1">
        <v>14207.97</v>
      </c>
      <c r="H201" s="1">
        <v>1271.8900000000001</v>
      </c>
      <c r="I201" s="1">
        <v>370.62</v>
      </c>
      <c r="J201" s="3">
        <v>0</v>
      </c>
      <c r="K201" s="3">
        <v>1332</v>
      </c>
      <c r="L201" t="s">
        <v>253</v>
      </c>
      <c r="M201" t="s">
        <v>256</v>
      </c>
      <c r="N201" s="8">
        <f t="shared" si="22"/>
        <v>90.928738418689065</v>
      </c>
      <c r="O201" s="7">
        <f t="shared" si="23"/>
        <v>0.93978710291391132</v>
      </c>
      <c r="P201" s="7">
        <f t="shared" si="24"/>
        <v>2.3719087971564232E-2</v>
      </c>
      <c r="Q201" s="7">
        <f t="shared" si="25"/>
        <v>8.1398928282750069E-2</v>
      </c>
    </row>
  </sheetData>
  <conditionalFormatting sqref="N1:XFD201 A202:XFD1048576">
    <cfRule type="containsText" dxfId="0" priority="4" operator="containsText" text="Review">
      <formula>NOT(ISERROR(SEARCH("Review",A1)))</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E7E62-9818-4BDD-8734-7EF8156D508A}">
  <dimension ref="A3:C97"/>
  <sheetViews>
    <sheetView topLeftCell="A82" workbookViewId="0">
      <selection activeCell="B119" sqref="B119"/>
    </sheetView>
  </sheetViews>
  <sheetFormatPr defaultRowHeight="14.4" x14ac:dyDescent="0.3"/>
  <cols>
    <col min="1" max="1" width="32.33203125" bestFit="1" customWidth="1"/>
    <col min="2" max="2" width="31.44140625" bestFit="1" customWidth="1"/>
    <col min="3" max="3" width="21.44140625" bestFit="1" customWidth="1"/>
  </cols>
  <sheetData>
    <row r="3" spans="1:2" x14ac:dyDescent="0.3">
      <c r="A3" s="5" t="s">
        <v>259</v>
      </c>
      <c r="B3" t="s">
        <v>261</v>
      </c>
    </row>
    <row r="4" spans="1:2" x14ac:dyDescent="0.3">
      <c r="A4" s="6" t="s">
        <v>235</v>
      </c>
      <c r="B4" s="1">
        <v>50393.539999999994</v>
      </c>
    </row>
    <row r="5" spans="1:2" x14ac:dyDescent="0.3">
      <c r="A5" s="6" t="s">
        <v>213</v>
      </c>
      <c r="B5" s="1">
        <v>49977.179999999993</v>
      </c>
    </row>
    <row r="6" spans="1:2" x14ac:dyDescent="0.3">
      <c r="A6" s="6" t="s">
        <v>212</v>
      </c>
      <c r="B6" s="1">
        <v>49751.86</v>
      </c>
    </row>
    <row r="7" spans="1:2" x14ac:dyDescent="0.3">
      <c r="A7" s="6" t="s">
        <v>225</v>
      </c>
      <c r="B7" s="1">
        <v>45274.509999999995</v>
      </c>
    </row>
    <row r="8" spans="1:2" x14ac:dyDescent="0.3">
      <c r="A8" s="6" t="s">
        <v>217</v>
      </c>
      <c r="B8" s="1">
        <v>41056.589999999997</v>
      </c>
    </row>
    <row r="9" spans="1:2" x14ac:dyDescent="0.3">
      <c r="A9" s="6" t="s">
        <v>236</v>
      </c>
      <c r="B9" s="1">
        <v>40478.42</v>
      </c>
    </row>
    <row r="10" spans="1:2" x14ac:dyDescent="0.3">
      <c r="A10" s="6" t="s">
        <v>222</v>
      </c>
      <c r="B10" s="1">
        <v>40258.589999999997</v>
      </c>
    </row>
    <row r="11" spans="1:2" x14ac:dyDescent="0.3">
      <c r="A11" s="6" t="s">
        <v>218</v>
      </c>
      <c r="B11" s="1">
        <v>35950.399999999994</v>
      </c>
    </row>
    <row r="12" spans="1:2" x14ac:dyDescent="0.3">
      <c r="A12" s="6" t="s">
        <v>228</v>
      </c>
      <c r="B12" s="1">
        <v>34632.25</v>
      </c>
    </row>
    <row r="13" spans="1:2" x14ac:dyDescent="0.3">
      <c r="A13" s="6" t="s">
        <v>258</v>
      </c>
      <c r="B13" s="1">
        <v>33812.89</v>
      </c>
    </row>
    <row r="14" spans="1:2" x14ac:dyDescent="0.3">
      <c r="A14" s="6" t="s">
        <v>260</v>
      </c>
      <c r="B14" s="1">
        <v>421586.22999999992</v>
      </c>
    </row>
    <row r="27" spans="1:2" x14ac:dyDescent="0.3">
      <c r="A27" s="5" t="s">
        <v>259</v>
      </c>
      <c r="B27" t="s">
        <v>264</v>
      </c>
    </row>
    <row r="28" spans="1:2" x14ac:dyDescent="0.3">
      <c r="A28" s="6" t="s">
        <v>220</v>
      </c>
      <c r="B28" s="7">
        <v>6.3942110382774281E-2</v>
      </c>
    </row>
    <row r="29" spans="1:2" x14ac:dyDescent="0.3">
      <c r="A29" s="6" t="s">
        <v>222</v>
      </c>
      <c r="B29" s="7">
        <v>6.6505741196672186E-2</v>
      </c>
    </row>
    <row r="30" spans="1:2" x14ac:dyDescent="0.3">
      <c r="A30" s="6" t="s">
        <v>234</v>
      </c>
      <c r="B30" s="7">
        <v>7.5234983969806157E-2</v>
      </c>
    </row>
    <row r="31" spans="1:2" x14ac:dyDescent="0.3">
      <c r="A31" s="6" t="s">
        <v>230</v>
      </c>
      <c r="B31" s="7">
        <v>8.456926039076107E-2</v>
      </c>
    </row>
    <row r="32" spans="1:2" x14ac:dyDescent="0.3">
      <c r="A32" s="6" t="s">
        <v>228</v>
      </c>
      <c r="B32" s="7">
        <v>8.801345559570066E-2</v>
      </c>
    </row>
    <row r="33" spans="1:2" x14ac:dyDescent="0.3">
      <c r="A33" s="6" t="s">
        <v>218</v>
      </c>
      <c r="B33" s="7">
        <v>8.9450449108225374E-2</v>
      </c>
    </row>
    <row r="34" spans="1:2" x14ac:dyDescent="0.3">
      <c r="A34" s="6" t="s">
        <v>213</v>
      </c>
      <c r="B34" s="7">
        <v>8.9713822720339065E-2</v>
      </c>
    </row>
    <row r="35" spans="1:2" x14ac:dyDescent="0.3">
      <c r="A35" s="6" t="s">
        <v>268</v>
      </c>
      <c r="B35" s="7">
        <v>9.6565930060048502E-2</v>
      </c>
    </row>
    <row r="36" spans="1:2" x14ac:dyDescent="0.3">
      <c r="A36" s="6" t="s">
        <v>212</v>
      </c>
      <c r="B36" s="7">
        <v>0.14885773049692128</v>
      </c>
    </row>
    <row r="37" spans="1:2" x14ac:dyDescent="0.3">
      <c r="A37" s="6" t="s">
        <v>215</v>
      </c>
      <c r="B37" s="7">
        <v>0.1971465160787515</v>
      </c>
    </row>
    <row r="38" spans="1:2" x14ac:dyDescent="0.3">
      <c r="A38" s="6" t="s">
        <v>260</v>
      </c>
      <c r="B38" s="7">
        <v>1</v>
      </c>
    </row>
    <row r="51" spans="1:2" x14ac:dyDescent="0.3">
      <c r="A51" s="5" t="s">
        <v>259</v>
      </c>
      <c r="B51" t="s">
        <v>266</v>
      </c>
    </row>
    <row r="52" spans="1:2" x14ac:dyDescent="0.3">
      <c r="A52" s="6">
        <v>2015</v>
      </c>
      <c r="B52" s="7">
        <v>0.10587401342345577</v>
      </c>
    </row>
    <row r="53" spans="1:2" x14ac:dyDescent="0.3">
      <c r="A53" s="6">
        <v>2016</v>
      </c>
      <c r="B53" s="7">
        <v>0.10728436878075412</v>
      </c>
    </row>
    <row r="54" spans="1:2" x14ac:dyDescent="0.3">
      <c r="A54" s="6">
        <v>2017</v>
      </c>
      <c r="B54" s="7">
        <v>4.4784885039714506E-2</v>
      </c>
    </row>
    <row r="55" spans="1:2" x14ac:dyDescent="0.3">
      <c r="A55" s="6">
        <v>2018</v>
      </c>
      <c r="B55" s="7">
        <v>5.2853246294013889E-2</v>
      </c>
    </row>
    <row r="56" spans="1:2" x14ac:dyDescent="0.3">
      <c r="A56" s="6">
        <v>2019</v>
      </c>
      <c r="B56" s="7">
        <v>0.19583463430965015</v>
      </c>
    </row>
    <row r="57" spans="1:2" x14ac:dyDescent="0.3">
      <c r="A57" s="6">
        <v>2020</v>
      </c>
      <c r="B57" s="7">
        <v>0.12110332034295825</v>
      </c>
    </row>
    <row r="58" spans="1:2" x14ac:dyDescent="0.3">
      <c r="A58" s="6">
        <v>2021</v>
      </c>
      <c r="B58" s="7">
        <v>8.2682245748998823E-2</v>
      </c>
    </row>
    <row r="59" spans="1:2" x14ac:dyDescent="0.3">
      <c r="A59" s="6">
        <v>2022</v>
      </c>
      <c r="B59" s="7">
        <v>9.0468009138414796E-2</v>
      </c>
    </row>
    <row r="60" spans="1:2" x14ac:dyDescent="0.3">
      <c r="A60" s="6">
        <v>2023</v>
      </c>
      <c r="B60" s="7">
        <v>4.0275439303454549E-2</v>
      </c>
    </row>
    <row r="61" spans="1:2" x14ac:dyDescent="0.3">
      <c r="A61" s="6">
        <v>2024</v>
      </c>
      <c r="B61" s="7">
        <v>0.15883983761858519</v>
      </c>
    </row>
    <row r="62" spans="1:2" x14ac:dyDescent="0.3">
      <c r="A62" s="6" t="s">
        <v>260</v>
      </c>
      <c r="B62" s="7">
        <v>1</v>
      </c>
    </row>
    <row r="65" spans="1:3" x14ac:dyDescent="0.3">
      <c r="A65" t="s">
        <v>261</v>
      </c>
      <c r="B65" t="s">
        <v>276</v>
      </c>
      <c r="C65" t="s">
        <v>279</v>
      </c>
    </row>
    <row r="66" spans="1:3" x14ac:dyDescent="0.3">
      <c r="A66" s="1">
        <v>687719.2</v>
      </c>
      <c r="B66" s="7">
        <v>160.29367300147908</v>
      </c>
      <c r="C66" s="7">
        <v>1.5146338974855795</v>
      </c>
    </row>
    <row r="69" spans="1:3" x14ac:dyDescent="0.3">
      <c r="A69" s="5" t="s">
        <v>259</v>
      </c>
      <c r="B69" t="s">
        <v>262</v>
      </c>
    </row>
    <row r="70" spans="1:3" x14ac:dyDescent="0.3">
      <c r="A70" s="6">
        <v>2015</v>
      </c>
      <c r="B70" s="1">
        <v>6167.829999999999</v>
      </c>
    </row>
    <row r="71" spans="1:3" x14ac:dyDescent="0.3">
      <c r="A71" s="6">
        <v>2016</v>
      </c>
      <c r="B71" s="1">
        <v>6724.93</v>
      </c>
    </row>
    <row r="72" spans="1:3" x14ac:dyDescent="0.3">
      <c r="A72" s="6">
        <v>2017</v>
      </c>
      <c r="B72" s="1">
        <v>6963.94</v>
      </c>
    </row>
    <row r="73" spans="1:3" x14ac:dyDescent="0.3">
      <c r="A73" s="6">
        <v>2018</v>
      </c>
      <c r="B73" s="1">
        <v>4962</v>
      </c>
    </row>
    <row r="74" spans="1:3" x14ac:dyDescent="0.3">
      <c r="A74" s="6">
        <v>2019</v>
      </c>
      <c r="B74" s="1">
        <v>6550.71</v>
      </c>
    </row>
    <row r="75" spans="1:3" x14ac:dyDescent="0.3">
      <c r="A75" s="6">
        <v>2020</v>
      </c>
      <c r="B75" s="1">
        <v>7293.01</v>
      </c>
    </row>
    <row r="76" spans="1:3" x14ac:dyDescent="0.3">
      <c r="A76" s="6">
        <v>2021</v>
      </c>
      <c r="B76" s="1">
        <v>7281.38</v>
      </c>
    </row>
    <row r="77" spans="1:3" x14ac:dyDescent="0.3">
      <c r="A77" s="6">
        <v>2022</v>
      </c>
      <c r="B77" s="1">
        <v>6936.6699999999992</v>
      </c>
    </row>
    <row r="78" spans="1:3" x14ac:dyDescent="0.3">
      <c r="A78" s="6">
        <v>2023</v>
      </c>
      <c r="B78" s="1">
        <v>5864.2699999999986</v>
      </c>
    </row>
    <row r="79" spans="1:3" x14ac:dyDescent="0.3">
      <c r="A79" s="6">
        <v>2024</v>
      </c>
      <c r="B79" s="1">
        <v>7283.36</v>
      </c>
    </row>
    <row r="80" spans="1:3" x14ac:dyDescent="0.3">
      <c r="A80" s="6" t="s">
        <v>260</v>
      </c>
      <c r="B80" s="1">
        <v>66028.099999999991</v>
      </c>
    </row>
    <row r="83" spans="1:3" x14ac:dyDescent="0.3">
      <c r="A83" s="5" t="s">
        <v>259</v>
      </c>
      <c r="B83" t="s">
        <v>273</v>
      </c>
    </row>
    <row r="84" spans="1:3" x14ac:dyDescent="0.3">
      <c r="A84" s="6" t="s">
        <v>271</v>
      </c>
      <c r="B84" s="7">
        <v>0.80872942191907649</v>
      </c>
    </row>
    <row r="85" spans="1:3" x14ac:dyDescent="0.3">
      <c r="A85" s="6" t="s">
        <v>270</v>
      </c>
      <c r="B85" s="7">
        <v>0.19127057808092357</v>
      </c>
    </row>
    <row r="86" spans="1:3" x14ac:dyDescent="0.3">
      <c r="A86" s="6" t="s">
        <v>260</v>
      </c>
      <c r="B86" s="7">
        <v>1</v>
      </c>
    </row>
    <row r="89" spans="1:3" x14ac:dyDescent="0.3">
      <c r="A89" s="5" t="s">
        <v>259</v>
      </c>
      <c r="B89" t="s">
        <v>262</v>
      </c>
    </row>
    <row r="90" spans="1:3" x14ac:dyDescent="0.3">
      <c r="A90" s="6" t="s">
        <v>251</v>
      </c>
      <c r="B90" s="1">
        <v>29249.429999999993</v>
      </c>
    </row>
    <row r="91" spans="1:3" x14ac:dyDescent="0.3">
      <c r="A91" s="6" t="s">
        <v>250</v>
      </c>
      <c r="B91" s="1">
        <v>24492.129999999994</v>
      </c>
    </row>
    <row r="92" spans="1:3" x14ac:dyDescent="0.3">
      <c r="A92" s="6" t="s">
        <v>253</v>
      </c>
      <c r="B92" s="1">
        <v>12286.54</v>
      </c>
    </row>
    <row r="93" spans="1:3" x14ac:dyDescent="0.3">
      <c r="A93" s="6" t="s">
        <v>260</v>
      </c>
      <c r="B93" s="1">
        <v>66028.099999999977</v>
      </c>
    </row>
    <row r="96" spans="1:3" x14ac:dyDescent="0.3">
      <c r="A96" t="s">
        <v>262</v>
      </c>
      <c r="B96" t="s">
        <v>277</v>
      </c>
      <c r="C96" t="s">
        <v>278</v>
      </c>
    </row>
    <row r="97" spans="1:3" x14ac:dyDescent="0.3">
      <c r="A97" s="1">
        <v>66028.099999999991</v>
      </c>
      <c r="B97" s="3">
        <v>2102.375</v>
      </c>
      <c r="C97" s="7">
        <v>0.79096132939897501</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320D4-E47E-4880-997C-536C59B3411A}">
  <dimension ref="A1"/>
  <sheetViews>
    <sheetView showGridLines="0" topLeftCell="C2" workbookViewId="0">
      <selection activeCell="I32" sqref="I3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4BD93-B0DA-4334-A536-57829498C051}">
  <dimension ref="A1"/>
  <sheetViews>
    <sheetView showGridLines="0" tabSelected="1" workbookViewId="0">
      <selection activeCell="Y10" sqref="Y1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A6ABE-F035-41B9-8430-7A4359F8880C}">
  <dimension ref="A1:O201"/>
  <sheetViews>
    <sheetView workbookViewId="0">
      <selection activeCell="D2" sqref="D2"/>
    </sheetView>
  </sheetViews>
  <sheetFormatPr defaultRowHeight="14.4" x14ac:dyDescent="0.3"/>
  <cols>
    <col min="1" max="1" width="20.77734375" bestFit="1" customWidth="1"/>
    <col min="2" max="2" width="9.109375" bestFit="1" customWidth="1"/>
    <col min="4" max="4" width="28" bestFit="1" customWidth="1"/>
    <col min="5" max="5" width="12" bestFit="1" customWidth="1"/>
    <col min="14" max="14" width="14.21875" bestFit="1" customWidth="1"/>
    <col min="15" max="15" width="11.109375" bestFit="1" customWidth="1"/>
    <col min="16" max="16" width="12.5546875" bestFit="1" customWidth="1"/>
    <col min="17" max="17" width="6.88671875" bestFit="1" customWidth="1"/>
    <col min="18" max="18" width="20.44140625" bestFit="1" customWidth="1"/>
    <col min="19" max="19" width="21.6640625" bestFit="1" customWidth="1"/>
    <col min="20" max="20" width="25" bestFit="1" customWidth="1"/>
    <col min="21" max="21" width="16.44140625" bestFit="1" customWidth="1"/>
    <col min="22" max="22" width="28" bestFit="1" customWidth="1"/>
    <col min="23" max="23" width="23.88671875" bestFit="1" customWidth="1"/>
    <col min="24" max="24" width="22" bestFit="1" customWidth="1"/>
    <col min="25" max="25" width="12.88671875" bestFit="1" customWidth="1"/>
    <col min="26" max="26" width="18.5546875" bestFit="1" customWidth="1"/>
    <col min="27" max="27" width="20.77734375" bestFit="1" customWidth="1"/>
    <col min="28" max="28" width="27.44140625" bestFit="1" customWidth="1"/>
    <col min="29" max="29" width="17.109375" bestFit="1" customWidth="1"/>
    <col min="30" max="30" width="14.21875" bestFit="1" customWidth="1"/>
  </cols>
  <sheetData>
    <row r="1" spans="1:15" x14ac:dyDescent="0.3">
      <c r="A1" t="s">
        <v>263</v>
      </c>
      <c r="B1" t="s">
        <v>275</v>
      </c>
      <c r="D1" t="s">
        <v>7</v>
      </c>
      <c r="E1" t="s">
        <v>274</v>
      </c>
      <c r="N1" t="s">
        <v>280</v>
      </c>
      <c r="O1" t="s">
        <v>275</v>
      </c>
    </row>
    <row r="2" spans="1:15" x14ac:dyDescent="0.3">
      <c r="A2" s="8">
        <v>204.58731566600625</v>
      </c>
      <c r="B2" s="7">
        <v>0.75207578658841534</v>
      </c>
      <c r="D2" s="1">
        <v>535.85</v>
      </c>
      <c r="E2">
        <v>1524</v>
      </c>
      <c r="N2" s="7">
        <v>0.75207578658841534</v>
      </c>
      <c r="O2" s="7">
        <v>204.58731566600625</v>
      </c>
    </row>
    <row r="3" spans="1:15" x14ac:dyDescent="0.3">
      <c r="A3" s="8">
        <v>99.056875197361492</v>
      </c>
      <c r="B3" s="7">
        <v>0.18348268481807656</v>
      </c>
      <c r="D3" s="1">
        <v>272.27999999999997</v>
      </c>
      <c r="E3">
        <v>0</v>
      </c>
      <c r="N3" s="7">
        <v>0.18348268481807656</v>
      </c>
      <c r="O3" s="7">
        <v>99.056875197361492</v>
      </c>
    </row>
    <row r="4" spans="1:15" x14ac:dyDescent="0.3">
      <c r="A4" s="8">
        <v>25.213426520338828</v>
      </c>
      <c r="B4" s="7">
        <v>0.83717845967047655</v>
      </c>
      <c r="D4" s="1">
        <v>364.22</v>
      </c>
      <c r="E4">
        <v>811</v>
      </c>
      <c r="N4" s="7">
        <v>0.83717845967047655</v>
      </c>
      <c r="O4" s="7">
        <v>25.213426520338828</v>
      </c>
    </row>
    <row r="5" spans="1:15" x14ac:dyDescent="0.3">
      <c r="A5" s="8">
        <v>74.575452623751659</v>
      </c>
      <c r="B5" s="7">
        <v>0.36734311886048887</v>
      </c>
      <c r="D5" s="1">
        <v>32.270000000000003</v>
      </c>
      <c r="E5">
        <v>3833</v>
      </c>
      <c r="N5" s="7">
        <v>0.36734311886048887</v>
      </c>
      <c r="O5" s="7">
        <v>74.575452623751659</v>
      </c>
    </row>
    <row r="6" spans="1:15" x14ac:dyDescent="0.3">
      <c r="A6" s="8">
        <v>46.907258547273422</v>
      </c>
      <c r="B6" s="7">
        <v>9.9249978015318291E-2</v>
      </c>
      <c r="D6" s="1">
        <v>562.30999999999995</v>
      </c>
      <c r="E6">
        <v>0</v>
      </c>
      <c r="N6" s="7">
        <v>9.9249978015318291E-2</v>
      </c>
      <c r="O6" s="7">
        <v>46.907258547273422</v>
      </c>
    </row>
    <row r="7" spans="1:15" x14ac:dyDescent="0.3">
      <c r="A7" s="8">
        <v>85.209570586879224</v>
      </c>
      <c r="B7" s="7">
        <v>0.4494050985198384</v>
      </c>
      <c r="D7" s="1">
        <v>466.72</v>
      </c>
      <c r="E7">
        <v>0</v>
      </c>
      <c r="N7" s="7">
        <v>0.4494050985198384</v>
      </c>
      <c r="O7" s="7">
        <v>85.209570586879224</v>
      </c>
    </row>
    <row r="8" spans="1:15" x14ac:dyDescent="0.3">
      <c r="A8" s="8">
        <v>60.134422586854221</v>
      </c>
      <c r="B8" s="7">
        <v>0.10704787809026531</v>
      </c>
      <c r="D8" s="1">
        <v>549.16</v>
      </c>
      <c r="E8">
        <v>0</v>
      </c>
      <c r="N8" s="7">
        <v>0.10704787809026531</v>
      </c>
      <c r="O8" s="7">
        <v>60.134422586854221</v>
      </c>
    </row>
    <row r="9" spans="1:15" x14ac:dyDescent="0.3">
      <c r="A9" s="8">
        <v>55.107216394690184</v>
      </c>
      <c r="B9" s="7">
        <v>2.7831600365933629E-2</v>
      </c>
      <c r="D9" s="1">
        <v>598.53</v>
      </c>
      <c r="E9">
        <v>8448</v>
      </c>
      <c r="N9" s="7">
        <v>2.7831600365933629E-2</v>
      </c>
      <c r="O9" s="7">
        <v>55.107216394690184</v>
      </c>
    </row>
    <row r="10" spans="1:15" x14ac:dyDescent="0.3">
      <c r="A10" s="8">
        <v>72.101426552994937</v>
      </c>
      <c r="B10" s="7">
        <v>0.82610034935238852</v>
      </c>
      <c r="D10" s="1">
        <v>319.82</v>
      </c>
      <c r="E10">
        <v>0</v>
      </c>
      <c r="N10" s="7">
        <v>0.82610034935238852</v>
      </c>
      <c r="O10" s="7">
        <v>72.101426552994937</v>
      </c>
    </row>
    <row r="11" spans="1:15" x14ac:dyDescent="0.3">
      <c r="A11" s="8">
        <v>2498.2675018550153</v>
      </c>
      <c r="B11" s="7">
        <v>14.99675587996756</v>
      </c>
      <c r="D11" s="1">
        <v>458.37</v>
      </c>
      <c r="E11">
        <v>0</v>
      </c>
      <c r="N11" s="7">
        <v>14.99675587996756</v>
      </c>
      <c r="O11" s="7">
        <v>2498.2675018550153</v>
      </c>
    </row>
    <row r="12" spans="1:15" x14ac:dyDescent="0.3">
      <c r="A12" s="8">
        <v>414.35973934207431</v>
      </c>
      <c r="B12" s="7">
        <v>1.8177480680581883</v>
      </c>
      <c r="D12" s="1">
        <v>361.37</v>
      </c>
      <c r="E12">
        <v>0</v>
      </c>
      <c r="N12" s="7">
        <v>1.8177480680581883</v>
      </c>
      <c r="O12" s="7">
        <v>414.35973934207431</v>
      </c>
    </row>
    <row r="13" spans="1:15" x14ac:dyDescent="0.3">
      <c r="A13" s="8">
        <v>41.662032399644566</v>
      </c>
      <c r="B13" s="7">
        <v>-5.2263561665568233E-2</v>
      </c>
      <c r="D13" s="1">
        <v>457.56</v>
      </c>
      <c r="E13">
        <v>0</v>
      </c>
      <c r="N13" s="7">
        <v>-5.2263561665568233E-2</v>
      </c>
      <c r="O13" s="7">
        <v>41.662032399644566</v>
      </c>
    </row>
    <row r="14" spans="1:15" x14ac:dyDescent="0.3">
      <c r="A14" s="8">
        <v>100.52683014811979</v>
      </c>
      <c r="B14" s="7">
        <v>0.5548271444977767</v>
      </c>
      <c r="D14" s="1">
        <v>124.68</v>
      </c>
      <c r="E14">
        <v>5207</v>
      </c>
      <c r="N14" s="7">
        <v>0.5548271444977767</v>
      </c>
      <c r="O14" s="7">
        <v>100.52683014811979</v>
      </c>
    </row>
    <row r="15" spans="1:15" x14ac:dyDescent="0.3">
      <c r="A15" s="8">
        <v>542.0133131589505</v>
      </c>
      <c r="B15" s="7">
        <v>2.1622233072129862</v>
      </c>
      <c r="D15" s="1">
        <v>9.2799999999999994</v>
      </c>
      <c r="E15">
        <v>0</v>
      </c>
      <c r="N15" s="7">
        <v>2.1622233072129862</v>
      </c>
      <c r="O15" s="7">
        <v>542.0133131589505</v>
      </c>
    </row>
    <row r="16" spans="1:15" x14ac:dyDescent="0.3">
      <c r="A16" s="8">
        <v>117.40861122632266</v>
      </c>
      <c r="B16" s="7">
        <v>0.62183663555685387</v>
      </c>
      <c r="D16" s="1">
        <v>347.85</v>
      </c>
      <c r="E16">
        <v>4081</v>
      </c>
      <c r="N16" s="7">
        <v>0.62183663555685387</v>
      </c>
      <c r="O16" s="7">
        <v>117.40861122632266</v>
      </c>
    </row>
    <row r="17" spans="1:15" x14ac:dyDescent="0.3">
      <c r="A17" s="8">
        <v>12.931977930403018</v>
      </c>
      <c r="B17" s="7">
        <v>0.49073071251351447</v>
      </c>
      <c r="D17" s="1">
        <v>389.48</v>
      </c>
      <c r="E17">
        <v>1093</v>
      </c>
      <c r="N17" s="7">
        <v>0.49073071251351447</v>
      </c>
      <c r="O17" s="7">
        <v>12.931977930403018</v>
      </c>
    </row>
    <row r="18" spans="1:15" x14ac:dyDescent="0.3">
      <c r="A18" s="8">
        <v>48.183294727807969</v>
      </c>
      <c r="B18" s="7">
        <v>0.75266193556722438</v>
      </c>
      <c r="D18" s="1">
        <v>268.66000000000003</v>
      </c>
      <c r="E18">
        <v>0</v>
      </c>
      <c r="N18" s="7">
        <v>0.75266193556722438</v>
      </c>
      <c r="O18" s="7">
        <v>48.183294727807969</v>
      </c>
    </row>
    <row r="19" spans="1:15" x14ac:dyDescent="0.3">
      <c r="A19" s="8">
        <v>25.36461901300548</v>
      </c>
      <c r="B19" s="7">
        <v>0.37803239082347151</v>
      </c>
      <c r="D19" s="1">
        <v>591.26</v>
      </c>
      <c r="E19">
        <v>4445</v>
      </c>
      <c r="N19" s="7">
        <v>0.37803239082347151</v>
      </c>
      <c r="O19" s="7">
        <v>25.36461901300548</v>
      </c>
    </row>
    <row r="20" spans="1:15" x14ac:dyDescent="0.3">
      <c r="A20" s="8">
        <v>150.71872256845498</v>
      </c>
      <c r="B20" s="7">
        <v>0.51022995518280834</v>
      </c>
      <c r="D20" s="1">
        <v>450.05</v>
      </c>
      <c r="E20">
        <v>0</v>
      </c>
      <c r="N20" s="7">
        <v>0.51022995518280834</v>
      </c>
      <c r="O20" s="7">
        <v>150.71872256845498</v>
      </c>
    </row>
    <row r="21" spans="1:15" x14ac:dyDescent="0.3">
      <c r="A21" s="8">
        <v>488.16516629918834</v>
      </c>
      <c r="B21" s="7">
        <v>2.2037901028533375</v>
      </c>
      <c r="D21" s="1">
        <v>144.94999999999999</v>
      </c>
      <c r="E21">
        <v>0</v>
      </c>
      <c r="N21" s="7">
        <v>2.2037901028533375</v>
      </c>
      <c r="O21" s="7">
        <v>488.16516629918834</v>
      </c>
    </row>
    <row r="22" spans="1:15" x14ac:dyDescent="0.3">
      <c r="A22" s="8">
        <v>32.490618551898152</v>
      </c>
      <c r="B22" s="7">
        <v>0.44169150101666793</v>
      </c>
      <c r="D22" s="1">
        <v>147.02000000000001</v>
      </c>
      <c r="E22">
        <v>0</v>
      </c>
      <c r="N22" s="7">
        <v>0.44169150101666793</v>
      </c>
      <c r="O22" s="7">
        <v>32.490618551898152</v>
      </c>
    </row>
    <row r="23" spans="1:15" x14ac:dyDescent="0.3">
      <c r="A23" s="8">
        <v>1564.1994974115319</v>
      </c>
      <c r="B23" s="7">
        <v>-1.2361616522252585</v>
      </c>
      <c r="D23" s="1">
        <v>324.89</v>
      </c>
      <c r="E23">
        <v>8388</v>
      </c>
      <c r="N23" s="7">
        <v>-1.2361616522252585</v>
      </c>
      <c r="O23" s="7">
        <v>1564.1994974115319</v>
      </c>
    </row>
    <row r="24" spans="1:15" x14ac:dyDescent="0.3">
      <c r="A24" s="8">
        <v>59.015613986882812</v>
      </c>
      <c r="B24" s="7">
        <v>0.42336053137730412</v>
      </c>
      <c r="D24" s="1">
        <v>394.12</v>
      </c>
      <c r="E24">
        <v>228</v>
      </c>
      <c r="N24" s="7">
        <v>0.42336053137730412</v>
      </c>
      <c r="O24" s="7">
        <v>59.015613986882812</v>
      </c>
    </row>
    <row r="25" spans="1:15" x14ac:dyDescent="0.3">
      <c r="A25" s="8">
        <v>86.915948364804834</v>
      </c>
      <c r="B25" s="7">
        <v>0.41936376741677445</v>
      </c>
      <c r="D25" s="1">
        <v>126.14</v>
      </c>
      <c r="E25">
        <v>4425</v>
      </c>
      <c r="N25" s="7">
        <v>0.41936376741677445</v>
      </c>
      <c r="O25" s="7">
        <v>86.915948364804834</v>
      </c>
    </row>
    <row r="26" spans="1:15" x14ac:dyDescent="0.3">
      <c r="A26" s="8">
        <v>2189.7745667694717</v>
      </c>
      <c r="B26" s="7">
        <v>1.502053265629526</v>
      </c>
      <c r="D26" s="1">
        <v>446.03</v>
      </c>
      <c r="E26">
        <v>0</v>
      </c>
      <c r="N26" s="7">
        <v>1.502053265629526</v>
      </c>
      <c r="O26" s="7">
        <v>2189.7745667694717</v>
      </c>
    </row>
    <row r="27" spans="1:15" x14ac:dyDescent="0.3">
      <c r="A27" s="8">
        <v>8.007702577357044</v>
      </c>
      <c r="B27" s="7">
        <v>0.14327777009958068</v>
      </c>
      <c r="D27" s="1">
        <v>560.19000000000005</v>
      </c>
      <c r="E27">
        <v>753</v>
      </c>
      <c r="N27" s="7">
        <v>0.14327777009958068</v>
      </c>
      <c r="O27" s="7">
        <v>8.007702577357044</v>
      </c>
    </row>
    <row r="28" spans="1:15" x14ac:dyDescent="0.3">
      <c r="A28" s="8">
        <v>31.987567244471009</v>
      </c>
      <c r="B28" s="7">
        <v>0.78696377764494929</v>
      </c>
      <c r="D28" s="1">
        <v>519.44000000000005</v>
      </c>
      <c r="E28">
        <v>3000</v>
      </c>
      <c r="N28" s="7">
        <v>0.78696377764494929</v>
      </c>
      <c r="O28" s="7">
        <v>31.987567244471009</v>
      </c>
    </row>
    <row r="29" spans="1:15" x14ac:dyDescent="0.3">
      <c r="A29" s="8">
        <v>77.645732334938828</v>
      </c>
      <c r="B29" s="7">
        <v>-3.9823977968272431E-2</v>
      </c>
      <c r="D29" s="1">
        <v>523.94000000000005</v>
      </c>
      <c r="E29">
        <v>0</v>
      </c>
      <c r="N29" s="7">
        <v>-3.9823977968272431E-2</v>
      </c>
      <c r="O29" s="7">
        <v>77.645732334938828</v>
      </c>
    </row>
    <row r="30" spans="1:15" x14ac:dyDescent="0.3">
      <c r="A30" s="8">
        <v>136.70388803062249</v>
      </c>
      <c r="B30" s="7">
        <v>0.1785803547016504</v>
      </c>
      <c r="D30" s="1">
        <v>46.31</v>
      </c>
      <c r="E30">
        <v>4673</v>
      </c>
      <c r="N30" s="7">
        <v>0.1785803547016504</v>
      </c>
      <c r="O30" s="7">
        <v>136.70388803062249</v>
      </c>
    </row>
    <row r="31" spans="1:15" x14ac:dyDescent="0.3">
      <c r="A31" s="8">
        <v>79.349457318100519</v>
      </c>
      <c r="B31" s="7">
        <v>3.7904725103924598E-2</v>
      </c>
      <c r="D31" s="1">
        <v>69.5</v>
      </c>
      <c r="E31">
        <v>7219</v>
      </c>
      <c r="N31" s="7">
        <v>3.7904725103924598E-2</v>
      </c>
      <c r="O31" s="7">
        <v>79.349457318100519</v>
      </c>
    </row>
    <row r="32" spans="1:15" x14ac:dyDescent="0.3">
      <c r="A32" s="8">
        <v>172.39578586484595</v>
      </c>
      <c r="B32" s="7">
        <v>0.72118876928715336</v>
      </c>
      <c r="D32" s="1">
        <v>484.87</v>
      </c>
      <c r="E32">
        <v>3328</v>
      </c>
      <c r="N32" s="7">
        <v>0.72118876928715336</v>
      </c>
      <c r="O32" s="7">
        <v>172.39578586484595</v>
      </c>
    </row>
    <row r="33" spans="1:15" x14ac:dyDescent="0.3">
      <c r="A33" s="8">
        <v>35.253761171017061</v>
      </c>
      <c r="B33" s="7">
        <v>0.13743921632206499</v>
      </c>
      <c r="D33" s="1">
        <v>244.43</v>
      </c>
      <c r="E33">
        <v>0</v>
      </c>
      <c r="N33" s="7">
        <v>0.13743921632206499</v>
      </c>
      <c r="O33" s="7">
        <v>35.253761171017061</v>
      </c>
    </row>
    <row r="34" spans="1:15" x14ac:dyDescent="0.3">
      <c r="A34" s="8">
        <v>115.79517665207145</v>
      </c>
      <c r="B34" s="7">
        <v>9.2959396472220596E-2</v>
      </c>
      <c r="D34" s="1">
        <v>130.06</v>
      </c>
      <c r="E34">
        <v>5379</v>
      </c>
      <c r="N34" s="7">
        <v>9.2959396472220596E-2</v>
      </c>
      <c r="O34" s="7">
        <v>115.79517665207145</v>
      </c>
    </row>
    <row r="35" spans="1:15" x14ac:dyDescent="0.3">
      <c r="A35" s="8">
        <v>9.8510644360910895</v>
      </c>
      <c r="B35" s="7">
        <v>0.18347455657036754</v>
      </c>
      <c r="D35" s="1">
        <v>381.6</v>
      </c>
      <c r="E35">
        <v>0</v>
      </c>
      <c r="N35" s="7">
        <v>0.18347455657036754</v>
      </c>
      <c r="O35" s="7">
        <v>9.8510644360910895</v>
      </c>
    </row>
    <row r="36" spans="1:15" x14ac:dyDescent="0.3">
      <c r="A36" s="8">
        <v>62.744737859169334</v>
      </c>
      <c r="B36" s="7">
        <v>0.12230868110489819</v>
      </c>
      <c r="D36" s="1">
        <v>532.25</v>
      </c>
      <c r="E36">
        <v>3285</v>
      </c>
      <c r="N36" s="7">
        <v>0.12230868110489819</v>
      </c>
      <c r="O36" s="7">
        <v>62.744737859169334</v>
      </c>
    </row>
    <row r="37" spans="1:15" x14ac:dyDescent="0.3">
      <c r="A37" s="8">
        <v>12.698116212656686</v>
      </c>
      <c r="B37" s="7">
        <v>0.14162984300978432</v>
      </c>
      <c r="D37" s="1">
        <v>109.65</v>
      </c>
      <c r="E37">
        <v>8586</v>
      </c>
      <c r="N37" s="7">
        <v>0.14162984300978432</v>
      </c>
      <c r="O37" s="7">
        <v>12.698116212656686</v>
      </c>
    </row>
    <row r="38" spans="1:15" x14ac:dyDescent="0.3">
      <c r="A38" s="8">
        <v>48.478508783939297</v>
      </c>
      <c r="B38" s="7">
        <v>0.46680056509676432</v>
      </c>
      <c r="D38" s="1">
        <v>268.33</v>
      </c>
      <c r="E38">
        <v>8370</v>
      </c>
      <c r="N38" s="7">
        <v>0.46680056509676432</v>
      </c>
      <c r="O38" s="7">
        <v>48.478508783939297</v>
      </c>
    </row>
    <row r="39" spans="1:15" x14ac:dyDescent="0.3">
      <c r="A39" s="8">
        <v>30.462356219008559</v>
      </c>
      <c r="B39" s="7">
        <v>0.34645503641139141</v>
      </c>
      <c r="D39" s="1">
        <v>293.33999999999997</v>
      </c>
      <c r="E39">
        <v>4019</v>
      </c>
      <c r="N39" s="7">
        <v>0.34645503641139141</v>
      </c>
      <c r="O39" s="7">
        <v>30.462356219008559</v>
      </c>
    </row>
    <row r="40" spans="1:15" x14ac:dyDescent="0.3">
      <c r="A40" s="8">
        <v>35.357109831050998</v>
      </c>
      <c r="B40" s="7">
        <v>0.41019082215829206</v>
      </c>
      <c r="D40" s="1">
        <v>425.32</v>
      </c>
      <c r="E40">
        <v>1152</v>
      </c>
      <c r="N40" s="7">
        <v>0.41019082215829206</v>
      </c>
      <c r="O40" s="7">
        <v>35.357109831050998</v>
      </c>
    </row>
    <row r="41" spans="1:15" x14ac:dyDescent="0.3">
      <c r="A41" s="8">
        <v>109.38377841519727</v>
      </c>
      <c r="B41" s="7">
        <v>0.52353171161956435</v>
      </c>
      <c r="D41" s="1">
        <v>514.76</v>
      </c>
      <c r="E41">
        <v>6332</v>
      </c>
      <c r="N41" s="7">
        <v>0.52353171161956435</v>
      </c>
      <c r="O41" s="7">
        <v>109.38377841519727</v>
      </c>
    </row>
    <row r="42" spans="1:15" x14ac:dyDescent="0.3">
      <c r="A42" s="8">
        <v>102.71957510760707</v>
      </c>
      <c r="B42" s="7">
        <v>0.43059366413957983</v>
      </c>
      <c r="D42" s="1">
        <v>136.22</v>
      </c>
      <c r="E42">
        <v>3695</v>
      </c>
      <c r="N42" s="7">
        <v>0.43059366413957983</v>
      </c>
      <c r="O42" s="7">
        <v>102.71957510760707</v>
      </c>
    </row>
    <row r="43" spans="1:15" x14ac:dyDescent="0.3">
      <c r="A43" s="8">
        <v>91.368530506181187</v>
      </c>
      <c r="B43" s="7">
        <v>-5.728461928777908E-2</v>
      </c>
      <c r="D43" s="1">
        <v>375.24</v>
      </c>
      <c r="E43">
        <v>541</v>
      </c>
      <c r="N43" s="7">
        <v>-5.728461928777908E-2</v>
      </c>
      <c r="O43" s="7">
        <v>91.368530506181187</v>
      </c>
    </row>
    <row r="44" spans="1:15" x14ac:dyDescent="0.3">
      <c r="A44" s="8">
        <v>136.27543231913674</v>
      </c>
      <c r="B44" s="7">
        <v>0.60611304509365238</v>
      </c>
      <c r="D44" s="1">
        <v>205.81</v>
      </c>
      <c r="E44">
        <v>6311</v>
      </c>
      <c r="N44" s="7">
        <v>0.60611304509365238</v>
      </c>
      <c r="O44" s="7">
        <v>136.27543231913674</v>
      </c>
    </row>
    <row r="45" spans="1:15" x14ac:dyDescent="0.3">
      <c r="A45" s="8">
        <v>52.436100223460201</v>
      </c>
      <c r="B45" s="7">
        <v>0.26376624446849994</v>
      </c>
      <c r="D45" s="1">
        <v>392.79</v>
      </c>
      <c r="E45">
        <v>0</v>
      </c>
      <c r="N45" s="7">
        <v>0.26376624446849994</v>
      </c>
      <c r="O45" s="7">
        <v>52.436100223460201</v>
      </c>
    </row>
    <row r="46" spans="1:15" x14ac:dyDescent="0.3">
      <c r="A46" s="8">
        <v>286.48161717950427</v>
      </c>
      <c r="B46" s="7">
        <v>0.24789404518946023</v>
      </c>
      <c r="D46" s="1">
        <v>224.49</v>
      </c>
      <c r="E46">
        <v>0</v>
      </c>
      <c r="N46" s="7">
        <v>0.24789404518946023</v>
      </c>
      <c r="O46" s="7">
        <v>286.48161717950427</v>
      </c>
    </row>
    <row r="47" spans="1:15" x14ac:dyDescent="0.3">
      <c r="A47" s="8">
        <v>82.856061378735504</v>
      </c>
      <c r="B47" s="7">
        <v>7.9849155743441664E-3</v>
      </c>
      <c r="D47" s="1">
        <v>357.3</v>
      </c>
      <c r="E47">
        <v>0</v>
      </c>
      <c r="N47" s="7">
        <v>7.9849155743441664E-3</v>
      </c>
      <c r="O47" s="7">
        <v>82.856061378735504</v>
      </c>
    </row>
    <row r="48" spans="1:15" x14ac:dyDescent="0.3">
      <c r="A48" s="8">
        <v>885.14530039370845</v>
      </c>
      <c r="B48" s="7">
        <v>-0.82425192040844775</v>
      </c>
      <c r="D48" s="1">
        <v>390.29</v>
      </c>
      <c r="E48">
        <v>307</v>
      </c>
      <c r="N48" s="7">
        <v>-0.82425192040844775</v>
      </c>
      <c r="O48" s="7">
        <v>885.14530039370845</v>
      </c>
    </row>
    <row r="49" spans="1:15" x14ac:dyDescent="0.3">
      <c r="A49" s="8">
        <v>82.762467566994559</v>
      </c>
      <c r="B49" s="7">
        <v>0.48349211904609657</v>
      </c>
      <c r="D49" s="1">
        <v>165.7</v>
      </c>
      <c r="E49">
        <v>8917</v>
      </c>
      <c r="N49" s="7">
        <v>0.48349211904609657</v>
      </c>
      <c r="O49" s="7">
        <v>82.762467566994559</v>
      </c>
    </row>
    <row r="50" spans="1:15" x14ac:dyDescent="0.3">
      <c r="A50" s="8">
        <v>39.237139203632402</v>
      </c>
      <c r="B50" s="7">
        <v>0.26733805619567963</v>
      </c>
      <c r="D50" s="1">
        <v>344.06</v>
      </c>
      <c r="E50">
        <v>6309</v>
      </c>
      <c r="N50" s="7">
        <v>0.26733805619567963</v>
      </c>
      <c r="O50" s="7">
        <v>39.237139203632402</v>
      </c>
    </row>
    <row r="51" spans="1:15" x14ac:dyDescent="0.3">
      <c r="A51" s="8">
        <v>176.35289173791259</v>
      </c>
      <c r="B51" s="7">
        <v>1.1246846461667763</v>
      </c>
      <c r="D51" s="1">
        <v>335.7</v>
      </c>
      <c r="E51">
        <v>0</v>
      </c>
      <c r="N51" s="7">
        <v>1.1246846461667763</v>
      </c>
      <c r="O51" s="7">
        <v>176.35289173791259</v>
      </c>
    </row>
    <row r="52" spans="1:15" x14ac:dyDescent="0.3">
      <c r="A52" s="8">
        <v>75.04792720983076</v>
      </c>
      <c r="B52" s="7">
        <v>-0.14882261835472382</v>
      </c>
      <c r="D52" s="1">
        <v>180.07</v>
      </c>
      <c r="E52">
        <v>0</v>
      </c>
      <c r="N52" s="7">
        <v>-0.14882261835472382</v>
      </c>
      <c r="O52" s="7">
        <v>75.04792720983076</v>
      </c>
    </row>
    <row r="53" spans="1:15" x14ac:dyDescent="0.3">
      <c r="A53" s="8">
        <v>75.344466328849109</v>
      </c>
      <c r="B53" s="7">
        <v>5.2200163831221891E-2</v>
      </c>
      <c r="D53" s="1">
        <v>154.59</v>
      </c>
      <c r="E53">
        <v>0</v>
      </c>
      <c r="N53" s="7">
        <v>5.2200163831221891E-2</v>
      </c>
      <c r="O53" s="7">
        <v>75.344466328849109</v>
      </c>
    </row>
    <row r="54" spans="1:15" x14ac:dyDescent="0.3">
      <c r="A54" s="8">
        <v>158.04712012663725</v>
      </c>
      <c r="B54" s="7">
        <v>0.30502706895728904</v>
      </c>
      <c r="D54" s="1">
        <v>173.38</v>
      </c>
      <c r="E54">
        <v>0</v>
      </c>
      <c r="N54" s="7">
        <v>0.30502706895728904</v>
      </c>
      <c r="O54" s="7">
        <v>158.04712012663725</v>
      </c>
    </row>
    <row r="55" spans="1:15" x14ac:dyDescent="0.3">
      <c r="A55" s="8">
        <v>38.157543984361112</v>
      </c>
      <c r="B55" s="7">
        <v>0.33696352408032698</v>
      </c>
      <c r="D55" s="1">
        <v>566.73</v>
      </c>
      <c r="E55">
        <v>0</v>
      </c>
      <c r="N55" s="7">
        <v>0.33696352408032698</v>
      </c>
      <c r="O55" s="7">
        <v>38.157543984361112</v>
      </c>
    </row>
    <row r="56" spans="1:15" x14ac:dyDescent="0.3">
      <c r="A56" s="8">
        <v>552.17458052117149</v>
      </c>
      <c r="B56" s="7">
        <v>4.0047477441108077</v>
      </c>
      <c r="D56" s="1">
        <v>243.42</v>
      </c>
      <c r="E56">
        <v>0</v>
      </c>
      <c r="N56" s="7">
        <v>4.0047477441108077</v>
      </c>
      <c r="O56" s="7">
        <v>552.17458052117149</v>
      </c>
    </row>
    <row r="57" spans="1:15" x14ac:dyDescent="0.3">
      <c r="A57" s="8">
        <v>84.977622613472718</v>
      </c>
      <c r="B57" s="7">
        <v>0.33886059131617696</v>
      </c>
      <c r="D57" s="1">
        <v>466.54</v>
      </c>
      <c r="E57">
        <v>6332</v>
      </c>
      <c r="N57" s="7">
        <v>0.33886059131617696</v>
      </c>
      <c r="O57" s="7">
        <v>84.977622613472718</v>
      </c>
    </row>
    <row r="58" spans="1:15" x14ac:dyDescent="0.3">
      <c r="A58" s="8">
        <v>122.87884912891715</v>
      </c>
      <c r="B58" s="7">
        <v>1.8506785454225072E-2</v>
      </c>
      <c r="D58" s="1">
        <v>130.56</v>
      </c>
      <c r="E58">
        <v>0</v>
      </c>
      <c r="N58" s="7">
        <v>1.8506785454225072E-2</v>
      </c>
      <c r="O58" s="7">
        <v>122.87884912891715</v>
      </c>
    </row>
    <row r="59" spans="1:15" x14ac:dyDescent="0.3">
      <c r="A59" s="8">
        <v>5.4228420566557345</v>
      </c>
      <c r="B59" s="7">
        <v>6.7232752468574589E-2</v>
      </c>
      <c r="D59" s="1">
        <v>173.22</v>
      </c>
      <c r="E59">
        <v>0</v>
      </c>
      <c r="N59" s="7">
        <v>6.7232752468574589E-2</v>
      </c>
      <c r="O59" s="7">
        <v>5.4228420566557345</v>
      </c>
    </row>
    <row r="60" spans="1:15" x14ac:dyDescent="0.3">
      <c r="A60" s="8">
        <v>88.444554172114081</v>
      </c>
      <c r="B60" s="7">
        <v>-6.7542368284713383E-2</v>
      </c>
      <c r="D60" s="1">
        <v>163.05000000000001</v>
      </c>
      <c r="E60">
        <v>0</v>
      </c>
      <c r="N60" s="7">
        <v>-6.7542368284713383E-2</v>
      </c>
      <c r="O60" s="7">
        <v>88.444554172114081</v>
      </c>
    </row>
    <row r="61" spans="1:15" x14ac:dyDescent="0.3">
      <c r="A61" s="8">
        <v>183.15986347834354</v>
      </c>
      <c r="B61" s="7">
        <v>0.75248977672580486</v>
      </c>
      <c r="D61" s="1">
        <v>565.89</v>
      </c>
      <c r="E61">
        <v>8299</v>
      </c>
      <c r="N61" s="7">
        <v>0.75248977672580486</v>
      </c>
      <c r="O61" s="7">
        <v>183.15986347834354</v>
      </c>
    </row>
    <row r="62" spans="1:15" x14ac:dyDescent="0.3">
      <c r="A62" s="8">
        <v>31.455210849795112</v>
      </c>
      <c r="B62" s="7">
        <v>0.35427945102275982</v>
      </c>
      <c r="D62" s="1">
        <v>517.01</v>
      </c>
      <c r="E62">
        <v>439</v>
      </c>
      <c r="N62" s="7">
        <v>0.35427945102275982</v>
      </c>
      <c r="O62" s="7">
        <v>31.455210849795112</v>
      </c>
    </row>
    <row r="63" spans="1:15" x14ac:dyDescent="0.3">
      <c r="A63" s="8">
        <v>121.49178929409257</v>
      </c>
      <c r="B63" s="7">
        <v>0.95103789009739104</v>
      </c>
      <c r="D63" s="1">
        <v>581.59</v>
      </c>
      <c r="E63">
        <v>7800</v>
      </c>
      <c r="N63" s="7">
        <v>0.95103789009739104</v>
      </c>
      <c r="O63" s="7">
        <v>121.49178929409257</v>
      </c>
    </row>
    <row r="64" spans="1:15" x14ac:dyDescent="0.3">
      <c r="A64" s="8">
        <v>126.14569261145175</v>
      </c>
      <c r="B64" s="7">
        <v>0.22719904017836054</v>
      </c>
      <c r="D64" s="1">
        <v>457.5</v>
      </c>
      <c r="E64">
        <v>701</v>
      </c>
      <c r="N64" s="7">
        <v>0.22719904017836054</v>
      </c>
      <c r="O64" s="7">
        <v>126.14569261145175</v>
      </c>
    </row>
    <row r="65" spans="1:15" x14ac:dyDescent="0.3">
      <c r="A65" s="8">
        <v>1.4876689175949998</v>
      </c>
      <c r="B65" s="7">
        <v>0.34868289111589457</v>
      </c>
      <c r="D65" s="1">
        <v>279.88</v>
      </c>
      <c r="E65">
        <v>0</v>
      </c>
      <c r="N65" s="7">
        <v>0.34868289111589457</v>
      </c>
      <c r="O65" s="7">
        <v>1.4876689175949998</v>
      </c>
    </row>
    <row r="66" spans="1:15" x14ac:dyDescent="0.3">
      <c r="A66" s="8">
        <v>338.51905714775165</v>
      </c>
      <c r="B66" s="7">
        <v>0.51379397067346066</v>
      </c>
      <c r="D66" s="1">
        <v>420.46</v>
      </c>
      <c r="E66">
        <v>0</v>
      </c>
      <c r="N66" s="7">
        <v>0.51379397067346066</v>
      </c>
      <c r="O66" s="7">
        <v>338.51905714775165</v>
      </c>
    </row>
    <row r="67" spans="1:15" x14ac:dyDescent="0.3">
      <c r="A67" s="8">
        <v>656.86603463822428</v>
      </c>
      <c r="B67" s="7">
        <v>1.1050067717333121</v>
      </c>
      <c r="D67" s="1">
        <v>74.89</v>
      </c>
      <c r="E67">
        <v>2622</v>
      </c>
      <c r="N67" s="7">
        <v>1.1050067717333121</v>
      </c>
      <c r="O67" s="7">
        <v>656.86603463822428</v>
      </c>
    </row>
    <row r="68" spans="1:15" x14ac:dyDescent="0.3">
      <c r="A68" s="8">
        <v>45.52098446768823</v>
      </c>
      <c r="B68" s="7">
        <v>9.0530710772846607E-2</v>
      </c>
      <c r="D68" s="1">
        <v>553.51</v>
      </c>
      <c r="E68">
        <v>0</v>
      </c>
      <c r="N68" s="7">
        <v>9.0530710772846607E-2</v>
      </c>
      <c r="O68" s="7">
        <v>45.52098446768823</v>
      </c>
    </row>
    <row r="69" spans="1:15" x14ac:dyDescent="0.3">
      <c r="A69" s="8">
        <v>30.002485019506437</v>
      </c>
      <c r="B69" s="7">
        <v>0.21628939993573898</v>
      </c>
      <c r="D69" s="1">
        <v>599.35</v>
      </c>
      <c r="E69">
        <v>0</v>
      </c>
      <c r="N69" s="7">
        <v>0.21628939993573898</v>
      </c>
      <c r="O69" s="7">
        <v>30.002485019506437</v>
      </c>
    </row>
    <row r="70" spans="1:15" x14ac:dyDescent="0.3">
      <c r="A70" s="8">
        <v>34.45839631981633</v>
      </c>
      <c r="B70" s="7">
        <v>0.48666002055604263</v>
      </c>
      <c r="D70" s="1">
        <v>345.22</v>
      </c>
      <c r="E70">
        <v>3926</v>
      </c>
      <c r="N70" s="7">
        <v>0.48666002055604263</v>
      </c>
      <c r="O70" s="7">
        <v>34.45839631981633</v>
      </c>
    </row>
    <row r="71" spans="1:15" x14ac:dyDescent="0.3">
      <c r="A71" s="8">
        <v>53.182940378230583</v>
      </c>
      <c r="B71" s="7">
        <v>-1.3223747721124737E-2</v>
      </c>
      <c r="D71" s="1">
        <v>579.07000000000005</v>
      </c>
      <c r="E71">
        <v>2168</v>
      </c>
      <c r="N71" s="7">
        <v>-1.3223747721124737E-2</v>
      </c>
      <c r="O71" s="7">
        <v>53.182940378230583</v>
      </c>
    </row>
    <row r="72" spans="1:15" x14ac:dyDescent="0.3">
      <c r="A72" s="8">
        <v>481.37561045783411</v>
      </c>
      <c r="B72" s="7">
        <v>-0.291901156056461</v>
      </c>
      <c r="D72" s="1">
        <v>470.01</v>
      </c>
      <c r="E72">
        <v>4442</v>
      </c>
      <c r="N72" s="7">
        <v>-0.291901156056461</v>
      </c>
      <c r="O72" s="7">
        <v>481.37561045783411</v>
      </c>
    </row>
    <row r="73" spans="1:15" x14ac:dyDescent="0.3">
      <c r="A73" s="8">
        <v>147.38421015613295</v>
      </c>
      <c r="B73" s="7">
        <v>0.64763211463951409</v>
      </c>
      <c r="D73" s="1">
        <v>524.07000000000005</v>
      </c>
      <c r="E73">
        <v>0</v>
      </c>
      <c r="N73" s="7">
        <v>0.64763211463951409</v>
      </c>
      <c r="O73" s="7">
        <v>147.38421015613295</v>
      </c>
    </row>
    <row r="74" spans="1:15" x14ac:dyDescent="0.3">
      <c r="A74" s="8">
        <v>11.918986087136533</v>
      </c>
      <c r="B74" s="7">
        <v>-8.8864795238239626E-3</v>
      </c>
      <c r="D74" s="1">
        <v>183.18</v>
      </c>
      <c r="E74">
        <v>0</v>
      </c>
      <c r="N74" s="7">
        <v>-8.8864795238239626E-3</v>
      </c>
      <c r="O74" s="7">
        <v>11.918986087136533</v>
      </c>
    </row>
    <row r="75" spans="1:15" x14ac:dyDescent="0.3">
      <c r="A75" s="8">
        <v>117.75296979258627</v>
      </c>
      <c r="B75" s="7">
        <v>-9.6332797328907167E-3</v>
      </c>
      <c r="D75" s="1">
        <v>51.99</v>
      </c>
      <c r="E75">
        <v>0</v>
      </c>
      <c r="N75" s="7">
        <v>-9.6332797328907167E-3</v>
      </c>
      <c r="O75" s="7">
        <v>117.75296979258627</v>
      </c>
    </row>
    <row r="76" spans="1:15" x14ac:dyDescent="0.3">
      <c r="A76" s="8">
        <v>56.216384757922746</v>
      </c>
      <c r="B76" s="7">
        <v>6.9128022996151478E-2</v>
      </c>
      <c r="D76" s="1">
        <v>330.23</v>
      </c>
      <c r="E76">
        <v>1310</v>
      </c>
      <c r="N76" s="7">
        <v>6.9128022996151478E-2</v>
      </c>
      <c r="O76" s="7">
        <v>56.216384757922746</v>
      </c>
    </row>
    <row r="77" spans="1:15" x14ac:dyDescent="0.3">
      <c r="A77" s="8">
        <v>182.48519742344106</v>
      </c>
      <c r="B77" s="7">
        <v>0.1132280953460625</v>
      </c>
      <c r="D77" s="1">
        <v>345.29</v>
      </c>
      <c r="E77">
        <v>4947</v>
      </c>
      <c r="N77" s="7">
        <v>0.1132280953460625</v>
      </c>
      <c r="O77" s="7">
        <v>182.48519742344106</v>
      </c>
    </row>
    <row r="78" spans="1:15" x14ac:dyDescent="0.3">
      <c r="A78" s="8">
        <v>65.332667534126216</v>
      </c>
      <c r="B78" s="7">
        <v>0.18480195941292302</v>
      </c>
      <c r="D78" s="1">
        <v>542.97</v>
      </c>
      <c r="E78">
        <v>0</v>
      </c>
      <c r="N78" s="7">
        <v>0.18480195941292302</v>
      </c>
      <c r="O78" s="7">
        <v>65.332667534126216</v>
      </c>
    </row>
    <row r="79" spans="1:15" x14ac:dyDescent="0.3">
      <c r="A79" s="8">
        <v>72.128706413544549</v>
      </c>
      <c r="B79" s="7">
        <v>-2.6059298408764316E-2</v>
      </c>
      <c r="D79" s="1">
        <v>62.81</v>
      </c>
      <c r="E79">
        <v>745</v>
      </c>
      <c r="N79" s="7">
        <v>-2.6059298408764316E-2</v>
      </c>
      <c r="O79" s="7">
        <v>72.128706413544549</v>
      </c>
    </row>
    <row r="80" spans="1:15" x14ac:dyDescent="0.3">
      <c r="A80" s="8">
        <v>48.64175746842583</v>
      </c>
      <c r="B80" s="7">
        <v>-7.0663022091249791E-2</v>
      </c>
      <c r="D80" s="1">
        <v>325.95</v>
      </c>
      <c r="E80">
        <v>6094</v>
      </c>
      <c r="N80" s="7">
        <v>-7.0663022091249791E-2</v>
      </c>
      <c r="O80" s="7">
        <v>48.64175746842583</v>
      </c>
    </row>
    <row r="81" spans="1:15" x14ac:dyDescent="0.3">
      <c r="A81" s="8">
        <v>92.5112744832403</v>
      </c>
      <c r="B81" s="7">
        <v>2.598550122529097</v>
      </c>
      <c r="D81" s="1">
        <v>516.78</v>
      </c>
      <c r="E81">
        <v>6611</v>
      </c>
      <c r="N81" s="7">
        <v>2.598550122529097</v>
      </c>
      <c r="O81" s="7">
        <v>92.5112744832403</v>
      </c>
    </row>
    <row r="82" spans="1:15" x14ac:dyDescent="0.3">
      <c r="A82" s="8">
        <v>69.569131492024994</v>
      </c>
      <c r="B82" s="7">
        <v>0.41488845580918854</v>
      </c>
      <c r="D82" s="1">
        <v>564.47</v>
      </c>
      <c r="E82">
        <v>0</v>
      </c>
      <c r="N82" s="7">
        <v>0.41488845580918854</v>
      </c>
      <c r="O82" s="7">
        <v>69.569131492024994</v>
      </c>
    </row>
    <row r="83" spans="1:15" x14ac:dyDescent="0.3">
      <c r="A83" s="8">
        <v>57.712427325403794</v>
      </c>
      <c r="B83" s="7">
        <v>0.34897552952562033</v>
      </c>
      <c r="D83" s="1">
        <v>391.3</v>
      </c>
      <c r="E83">
        <v>0</v>
      </c>
      <c r="N83" s="7">
        <v>0.34897552952562033</v>
      </c>
      <c r="O83" s="7">
        <v>57.712427325403794</v>
      </c>
    </row>
    <row r="84" spans="1:15" x14ac:dyDescent="0.3">
      <c r="A84" s="8">
        <v>55.661969481831974</v>
      </c>
      <c r="B84" s="7">
        <v>0.61764871553465328</v>
      </c>
      <c r="D84" s="1">
        <v>419.41</v>
      </c>
      <c r="E84">
        <v>8950</v>
      </c>
      <c r="N84" s="7">
        <v>0.61764871553465328</v>
      </c>
      <c r="O84" s="7">
        <v>55.661969481831974</v>
      </c>
    </row>
    <row r="85" spans="1:15" x14ac:dyDescent="0.3">
      <c r="A85" s="8">
        <v>8.996327213292135</v>
      </c>
      <c r="B85" s="7">
        <v>0.19771993858369113</v>
      </c>
      <c r="D85" s="1">
        <v>268.81</v>
      </c>
      <c r="E85">
        <v>3968</v>
      </c>
      <c r="N85" s="7">
        <v>0.19771993858369113</v>
      </c>
      <c r="O85" s="7">
        <v>8.996327213292135</v>
      </c>
    </row>
    <row r="86" spans="1:15" x14ac:dyDescent="0.3">
      <c r="A86" s="8">
        <v>330.19857057148016</v>
      </c>
      <c r="B86" s="7">
        <v>0.58285617758931008</v>
      </c>
      <c r="D86" s="1">
        <v>399.35</v>
      </c>
      <c r="E86">
        <v>0</v>
      </c>
      <c r="N86" s="7">
        <v>0.58285617758931008</v>
      </c>
      <c r="O86" s="7">
        <v>330.19857057148016</v>
      </c>
    </row>
    <row r="87" spans="1:15" x14ac:dyDescent="0.3">
      <c r="A87" s="8">
        <v>115.90450124981442</v>
      </c>
      <c r="B87" s="7">
        <v>3.9990510076295858E-2</v>
      </c>
      <c r="D87" s="1">
        <v>465.75</v>
      </c>
      <c r="E87">
        <v>146</v>
      </c>
      <c r="N87" s="7">
        <v>3.9990510076295858E-2</v>
      </c>
      <c r="O87" s="7">
        <v>115.90450124981442</v>
      </c>
    </row>
    <row r="88" spans="1:15" x14ac:dyDescent="0.3">
      <c r="A88" s="8">
        <v>33.861285706856179</v>
      </c>
      <c r="B88" s="7">
        <v>0.3071041611342431</v>
      </c>
      <c r="D88" s="1">
        <v>355.37</v>
      </c>
      <c r="E88">
        <v>0</v>
      </c>
      <c r="N88" s="7">
        <v>0.3071041611342431</v>
      </c>
      <c r="O88" s="7">
        <v>33.861285706856179</v>
      </c>
    </row>
    <row r="89" spans="1:15" x14ac:dyDescent="0.3">
      <c r="A89" s="8">
        <v>361.28127476095801</v>
      </c>
      <c r="B89" s="7">
        <v>2.2022146930005784</v>
      </c>
      <c r="D89" s="1">
        <v>273.94</v>
      </c>
      <c r="E89">
        <v>0</v>
      </c>
      <c r="N89" s="7">
        <v>2.2022146930005784</v>
      </c>
      <c r="O89" s="7">
        <v>361.28127476095801</v>
      </c>
    </row>
    <row r="90" spans="1:15" x14ac:dyDescent="0.3">
      <c r="A90" s="8">
        <v>112.92237226462316</v>
      </c>
      <c r="B90" s="7">
        <v>0.27731453707623832</v>
      </c>
      <c r="D90" s="1">
        <v>546.27</v>
      </c>
      <c r="E90">
        <v>0</v>
      </c>
      <c r="N90" s="7">
        <v>0.27731453707623832</v>
      </c>
      <c r="O90" s="7">
        <v>112.92237226462316</v>
      </c>
    </row>
    <row r="91" spans="1:15" x14ac:dyDescent="0.3">
      <c r="A91" s="8">
        <v>142.76681356581719</v>
      </c>
      <c r="B91" s="7">
        <v>0.27529273979474306</v>
      </c>
      <c r="D91" s="1">
        <v>274.95999999999998</v>
      </c>
      <c r="E91">
        <v>0</v>
      </c>
      <c r="N91" s="7">
        <v>0.27529273979474306</v>
      </c>
      <c r="O91" s="7">
        <v>142.76681356581719</v>
      </c>
    </row>
    <row r="92" spans="1:15" x14ac:dyDescent="0.3">
      <c r="A92" s="8">
        <v>74.579874500353355</v>
      </c>
      <c r="B92" s="7">
        <v>0.10719765228412144</v>
      </c>
      <c r="D92" s="1">
        <v>439.12</v>
      </c>
      <c r="E92">
        <v>5220</v>
      </c>
      <c r="N92" s="7">
        <v>0.10719765228412144</v>
      </c>
      <c r="O92" s="7">
        <v>74.579874500353355</v>
      </c>
    </row>
    <row r="93" spans="1:15" x14ac:dyDescent="0.3">
      <c r="A93" s="8">
        <v>322.04525760417687</v>
      </c>
      <c r="B93" s="7">
        <v>2.2634213403241668</v>
      </c>
      <c r="D93" s="1">
        <v>226.72</v>
      </c>
      <c r="E93">
        <v>0</v>
      </c>
      <c r="N93" s="7">
        <v>2.2634213403241668</v>
      </c>
      <c r="O93" s="7">
        <v>322.04525760417687</v>
      </c>
    </row>
    <row r="94" spans="1:15" x14ac:dyDescent="0.3">
      <c r="A94" s="8">
        <v>76.818826011706406</v>
      </c>
      <c r="B94" s="7">
        <v>0.45823526794887814</v>
      </c>
      <c r="D94" s="1">
        <v>362.24</v>
      </c>
      <c r="E94">
        <v>0</v>
      </c>
      <c r="N94" s="7">
        <v>0.45823526794887814</v>
      </c>
      <c r="O94" s="7">
        <v>76.818826011706406</v>
      </c>
    </row>
    <row r="95" spans="1:15" x14ac:dyDescent="0.3">
      <c r="A95" s="8">
        <v>28.236387931423835</v>
      </c>
      <c r="B95" s="7">
        <v>0.11723668425905423</v>
      </c>
      <c r="D95" s="1">
        <v>139.56</v>
      </c>
      <c r="E95">
        <v>0</v>
      </c>
      <c r="N95" s="7">
        <v>0.11723668425905423</v>
      </c>
      <c r="O95" s="7">
        <v>28.236387931423835</v>
      </c>
    </row>
    <row r="96" spans="1:15" x14ac:dyDescent="0.3">
      <c r="A96" s="8">
        <v>16.785446711041455</v>
      </c>
      <c r="B96" s="7">
        <v>-1.8382705013114412E-2</v>
      </c>
      <c r="D96" s="1">
        <v>396.12</v>
      </c>
      <c r="E96">
        <v>0</v>
      </c>
      <c r="N96" s="7">
        <v>-1.8382705013114412E-2</v>
      </c>
      <c r="O96" s="7">
        <v>16.785446711041455</v>
      </c>
    </row>
    <row r="97" spans="1:15" x14ac:dyDescent="0.3">
      <c r="A97" s="8">
        <v>55.442419358171634</v>
      </c>
      <c r="B97" s="7">
        <v>0.13502383264797252</v>
      </c>
      <c r="D97" s="1">
        <v>565.14</v>
      </c>
      <c r="E97">
        <v>0</v>
      </c>
      <c r="N97" s="7">
        <v>0.13502383264797252</v>
      </c>
      <c r="O97" s="7">
        <v>55.442419358171634</v>
      </c>
    </row>
    <row r="98" spans="1:15" x14ac:dyDescent="0.3">
      <c r="A98" s="8">
        <v>53.885269926723502</v>
      </c>
      <c r="B98" s="7">
        <v>6.0107073426050546E-2</v>
      </c>
      <c r="D98" s="1">
        <v>454.19</v>
      </c>
      <c r="E98">
        <v>1964</v>
      </c>
      <c r="N98" s="7">
        <v>6.0107073426050546E-2</v>
      </c>
      <c r="O98" s="7">
        <v>53.885269926723502</v>
      </c>
    </row>
    <row r="99" spans="1:15" x14ac:dyDescent="0.3">
      <c r="A99" s="8">
        <v>48.007183247005742</v>
      </c>
      <c r="B99" s="7">
        <v>0.27264103058816541</v>
      </c>
      <c r="D99" s="1">
        <v>9.57</v>
      </c>
      <c r="E99">
        <v>0</v>
      </c>
      <c r="N99" s="7">
        <v>0.27264103058816541</v>
      </c>
      <c r="O99" s="7">
        <v>48.007183247005742</v>
      </c>
    </row>
    <row r="100" spans="1:15" x14ac:dyDescent="0.3">
      <c r="A100" s="8">
        <v>97.654702494333137</v>
      </c>
      <c r="B100" s="7">
        <v>4.8069640441406027E-2</v>
      </c>
      <c r="D100" s="1">
        <v>337.44</v>
      </c>
      <c r="E100">
        <v>0</v>
      </c>
      <c r="N100" s="7">
        <v>4.8069640441406027E-2</v>
      </c>
      <c r="O100" s="7">
        <v>97.654702494333137</v>
      </c>
    </row>
    <row r="101" spans="1:15" x14ac:dyDescent="0.3">
      <c r="A101" s="8">
        <v>101.18898554343394</v>
      </c>
      <c r="B101" s="7">
        <v>0.61708276264720041</v>
      </c>
      <c r="D101" s="1">
        <v>177.26</v>
      </c>
      <c r="E101">
        <v>0</v>
      </c>
      <c r="N101" s="7">
        <v>0.61708276264720041</v>
      </c>
      <c r="O101" s="7">
        <v>101.18898554343394</v>
      </c>
    </row>
    <row r="102" spans="1:15" x14ac:dyDescent="0.3">
      <c r="A102" s="8">
        <v>191.53761685933259</v>
      </c>
      <c r="B102" s="7">
        <v>1.6838198241563189</v>
      </c>
      <c r="D102" s="1">
        <v>316.76</v>
      </c>
      <c r="E102">
        <v>6584</v>
      </c>
      <c r="N102" s="7">
        <v>1.6838198241563189</v>
      </c>
      <c r="O102" s="7">
        <v>191.53761685933259</v>
      </c>
    </row>
    <row r="103" spans="1:15" x14ac:dyDescent="0.3">
      <c r="A103" s="8">
        <v>115.4956140155943</v>
      </c>
      <c r="B103" s="7">
        <v>0.13793517246896625</v>
      </c>
      <c r="D103" s="1">
        <v>575.14</v>
      </c>
      <c r="E103">
        <v>0</v>
      </c>
      <c r="N103" s="7">
        <v>0.13793517246896625</v>
      </c>
      <c r="O103" s="7">
        <v>115.4956140155943</v>
      </c>
    </row>
    <row r="104" spans="1:15" x14ac:dyDescent="0.3">
      <c r="A104" s="8">
        <v>99.692291259909425</v>
      </c>
      <c r="B104" s="7">
        <v>0.2569443899047239</v>
      </c>
      <c r="D104" s="1">
        <v>281.05</v>
      </c>
      <c r="E104">
        <v>7454</v>
      </c>
      <c r="N104" s="7">
        <v>0.2569443899047239</v>
      </c>
      <c r="O104" s="7">
        <v>99.692291259909425</v>
      </c>
    </row>
    <row r="105" spans="1:15" x14ac:dyDescent="0.3">
      <c r="A105" s="8">
        <v>17.761993155787902</v>
      </c>
      <c r="B105" s="7">
        <v>0.45216123044285333</v>
      </c>
      <c r="D105" s="1">
        <v>189.69</v>
      </c>
      <c r="E105">
        <v>0</v>
      </c>
      <c r="N105" s="7">
        <v>0.45216123044285333</v>
      </c>
      <c r="O105" s="7">
        <v>17.761993155787902</v>
      </c>
    </row>
    <row r="106" spans="1:15" x14ac:dyDescent="0.3">
      <c r="A106" s="8">
        <v>290.32246171089793</v>
      </c>
      <c r="B106" s="7">
        <v>1.6162241083082003</v>
      </c>
      <c r="D106" s="1">
        <v>572.77</v>
      </c>
      <c r="E106">
        <v>772</v>
      </c>
      <c r="N106" s="7">
        <v>1.6162241083082003</v>
      </c>
      <c r="O106" s="7">
        <v>290.32246171089793</v>
      </c>
    </row>
    <row r="107" spans="1:15" x14ac:dyDescent="0.3">
      <c r="A107" s="8">
        <v>893.53195331140773</v>
      </c>
      <c r="B107" s="7">
        <v>0.88189452902163279</v>
      </c>
      <c r="D107" s="1">
        <v>430.02</v>
      </c>
      <c r="E107">
        <v>0</v>
      </c>
      <c r="N107" s="7">
        <v>0.88189452902163279</v>
      </c>
      <c r="O107" s="7">
        <v>893.53195331140773</v>
      </c>
    </row>
    <row r="108" spans="1:15" x14ac:dyDescent="0.3">
      <c r="A108" s="8">
        <v>84.245233922786895</v>
      </c>
      <c r="B108" s="7">
        <v>0.69238064892995588</v>
      </c>
      <c r="D108" s="1">
        <v>408.94</v>
      </c>
      <c r="E108">
        <v>957</v>
      </c>
      <c r="N108" s="7">
        <v>0.69238064892995588</v>
      </c>
      <c r="O108" s="7">
        <v>84.245233922786895</v>
      </c>
    </row>
    <row r="109" spans="1:15" x14ac:dyDescent="0.3">
      <c r="A109" s="8">
        <v>99.580286175497648</v>
      </c>
      <c r="B109" s="7">
        <v>0.41719510275364519</v>
      </c>
      <c r="D109" s="1">
        <v>203.35</v>
      </c>
      <c r="E109">
        <v>2417</v>
      </c>
      <c r="N109" s="7">
        <v>0.41719510275364519</v>
      </c>
      <c r="O109" s="7">
        <v>99.580286175497648</v>
      </c>
    </row>
    <row r="110" spans="1:15" x14ac:dyDescent="0.3">
      <c r="A110" s="8">
        <v>47.704562411623833</v>
      </c>
      <c r="B110" s="7">
        <v>-4.1868899975270525E-2</v>
      </c>
      <c r="D110" s="1">
        <v>423.18</v>
      </c>
      <c r="E110">
        <v>0</v>
      </c>
      <c r="N110" s="7">
        <v>-4.1868899975270525E-2</v>
      </c>
      <c r="O110" s="7">
        <v>47.704562411623833</v>
      </c>
    </row>
    <row r="111" spans="1:15" x14ac:dyDescent="0.3">
      <c r="A111" s="8">
        <v>64.667729528874773</v>
      </c>
      <c r="B111" s="7">
        <v>4.7076813849976787E-3</v>
      </c>
      <c r="D111" s="1">
        <v>599.99</v>
      </c>
      <c r="E111">
        <v>0</v>
      </c>
      <c r="N111" s="7">
        <v>4.7076813849976787E-3</v>
      </c>
      <c r="O111" s="7">
        <v>64.667729528874773</v>
      </c>
    </row>
    <row r="112" spans="1:15" x14ac:dyDescent="0.3">
      <c r="A112" s="8">
        <v>1080.5833760290848</v>
      </c>
      <c r="B112" s="7">
        <v>-0.39195401492128779</v>
      </c>
      <c r="D112" s="1">
        <v>229.15</v>
      </c>
      <c r="E112">
        <v>0</v>
      </c>
      <c r="N112" s="7">
        <v>-0.39195401492128779</v>
      </c>
      <c r="O112" s="7">
        <v>1080.5833760290848</v>
      </c>
    </row>
    <row r="113" spans="1:15" x14ac:dyDescent="0.3">
      <c r="A113" s="8">
        <v>93.568943063443413</v>
      </c>
      <c r="B113" s="7">
        <v>0.9864561855466184</v>
      </c>
      <c r="D113" s="1">
        <v>272.11</v>
      </c>
      <c r="E113">
        <v>0</v>
      </c>
      <c r="N113" s="7">
        <v>0.9864561855466184</v>
      </c>
      <c r="O113" s="7">
        <v>93.568943063443413</v>
      </c>
    </row>
    <row r="114" spans="1:15" x14ac:dyDescent="0.3">
      <c r="A114" s="8">
        <v>138.37572512271311</v>
      </c>
      <c r="B114" s="7">
        <v>0.31271204748447051</v>
      </c>
      <c r="D114" s="1">
        <v>254.1</v>
      </c>
      <c r="E114">
        <v>0</v>
      </c>
      <c r="N114" s="7">
        <v>0.31271204748447051</v>
      </c>
      <c r="O114" s="7">
        <v>138.37572512271311</v>
      </c>
    </row>
    <row r="115" spans="1:15" x14ac:dyDescent="0.3">
      <c r="A115" s="8">
        <v>120.43006477948354</v>
      </c>
      <c r="B115" s="7">
        <v>0.5226962463395155</v>
      </c>
      <c r="D115" s="1">
        <v>174.61</v>
      </c>
      <c r="E115">
        <v>2726</v>
      </c>
      <c r="N115" s="7">
        <v>0.5226962463395155</v>
      </c>
      <c r="O115" s="7">
        <v>120.43006477948354</v>
      </c>
    </row>
    <row r="116" spans="1:15" x14ac:dyDescent="0.3">
      <c r="A116" s="8">
        <v>7.144687274943216</v>
      </c>
      <c r="B116" s="7">
        <v>-0.1224109813860728</v>
      </c>
      <c r="D116" s="1">
        <v>303.69</v>
      </c>
      <c r="E116">
        <v>3962</v>
      </c>
      <c r="N116" s="7">
        <v>-0.1224109813860728</v>
      </c>
      <c r="O116" s="7">
        <v>7.144687274943216</v>
      </c>
    </row>
    <row r="117" spans="1:15" x14ac:dyDescent="0.3">
      <c r="A117" s="8">
        <v>17.640898932552297</v>
      </c>
      <c r="B117" s="7">
        <v>-8.7653419580516659E-2</v>
      </c>
      <c r="D117" s="1">
        <v>550.85</v>
      </c>
      <c r="E117">
        <v>0</v>
      </c>
      <c r="N117" s="7">
        <v>-8.7653419580516659E-2</v>
      </c>
      <c r="O117" s="7">
        <v>17.640898932552297</v>
      </c>
    </row>
    <row r="118" spans="1:15" x14ac:dyDescent="0.3">
      <c r="A118" s="8">
        <v>164.12422785939432</v>
      </c>
      <c r="B118" s="7">
        <v>0.88618256047880839</v>
      </c>
      <c r="D118" s="1">
        <v>319.02</v>
      </c>
      <c r="E118">
        <v>1921</v>
      </c>
      <c r="N118" s="7">
        <v>0.88618256047880839</v>
      </c>
      <c r="O118" s="7">
        <v>164.12422785939432</v>
      </c>
    </row>
    <row r="119" spans="1:15" x14ac:dyDescent="0.3">
      <c r="A119" s="8">
        <v>106.49723393697259</v>
      </c>
      <c r="B119" s="7">
        <v>0.22197798571724095</v>
      </c>
      <c r="D119" s="1">
        <v>323.95</v>
      </c>
      <c r="E119">
        <v>0</v>
      </c>
      <c r="N119" s="7">
        <v>0.22197798571724095</v>
      </c>
      <c r="O119" s="7">
        <v>106.49723393697259</v>
      </c>
    </row>
    <row r="120" spans="1:15" x14ac:dyDescent="0.3">
      <c r="A120" s="8">
        <v>92.974161088192602</v>
      </c>
      <c r="B120" s="7">
        <v>0.25953059333234813</v>
      </c>
      <c r="D120" s="1">
        <v>219.56</v>
      </c>
      <c r="E120">
        <v>0</v>
      </c>
      <c r="N120" s="7">
        <v>0.25953059333234813</v>
      </c>
      <c r="O120" s="7">
        <v>92.974161088192602</v>
      </c>
    </row>
    <row r="121" spans="1:15" x14ac:dyDescent="0.3">
      <c r="A121" s="8">
        <v>8.6708355352629507</v>
      </c>
      <c r="B121" s="7">
        <v>3.4684511777709495E-2</v>
      </c>
      <c r="D121" s="1">
        <v>395.98</v>
      </c>
      <c r="E121">
        <v>1798</v>
      </c>
      <c r="N121" s="7">
        <v>3.4684511777709495E-2</v>
      </c>
      <c r="O121" s="7">
        <v>8.6708355352629507</v>
      </c>
    </row>
    <row r="122" spans="1:15" x14ac:dyDescent="0.3">
      <c r="A122" s="8">
        <v>94.136266815067827</v>
      </c>
      <c r="B122" s="7">
        <v>0.15658114409625606</v>
      </c>
      <c r="D122" s="1">
        <v>113.46</v>
      </c>
      <c r="E122">
        <v>0</v>
      </c>
      <c r="N122" s="7">
        <v>0.15658114409625606</v>
      </c>
      <c r="O122" s="7">
        <v>94.136266815067827</v>
      </c>
    </row>
    <row r="123" spans="1:15" x14ac:dyDescent="0.3">
      <c r="A123" s="8">
        <v>28.864653682168967</v>
      </c>
      <c r="B123" s="7">
        <v>0.10721894471904606</v>
      </c>
      <c r="D123" s="1">
        <v>490.17</v>
      </c>
      <c r="E123">
        <v>7856</v>
      </c>
      <c r="N123" s="7">
        <v>0.10721894471904606</v>
      </c>
      <c r="O123" s="7">
        <v>28.864653682168967</v>
      </c>
    </row>
    <row r="124" spans="1:15" x14ac:dyDescent="0.3">
      <c r="A124" s="8">
        <v>96.870770556979551</v>
      </c>
      <c r="B124" s="7">
        <v>0.16941737667985479</v>
      </c>
      <c r="D124" s="1">
        <v>243.01</v>
      </c>
      <c r="E124">
        <v>7304</v>
      </c>
      <c r="N124" s="7">
        <v>0.16941737667985479</v>
      </c>
      <c r="O124" s="7">
        <v>96.870770556979551</v>
      </c>
    </row>
    <row r="125" spans="1:15" x14ac:dyDescent="0.3">
      <c r="A125" s="8">
        <v>110.59758316656909</v>
      </c>
      <c r="B125" s="7">
        <v>-8.55980747618032E-2</v>
      </c>
      <c r="D125" s="1">
        <v>363.46</v>
      </c>
      <c r="E125">
        <v>3056</v>
      </c>
      <c r="N125" s="7">
        <v>-8.55980747618032E-2</v>
      </c>
      <c r="O125" s="7">
        <v>110.59758316656909</v>
      </c>
    </row>
    <row r="126" spans="1:15" x14ac:dyDescent="0.3">
      <c r="A126" s="8">
        <v>90.986377956831106</v>
      </c>
      <c r="B126" s="7">
        <v>0.12231340853747619</v>
      </c>
      <c r="D126" s="1">
        <v>30.2</v>
      </c>
      <c r="E126">
        <v>5876</v>
      </c>
      <c r="N126" s="7">
        <v>0.12231340853747619</v>
      </c>
      <c r="O126" s="7">
        <v>90.986377956831106</v>
      </c>
    </row>
    <row r="127" spans="1:15" x14ac:dyDescent="0.3">
      <c r="A127" s="8">
        <v>94.748805699848717</v>
      </c>
      <c r="B127" s="7">
        <v>-2.1336175308108326E-2</v>
      </c>
      <c r="D127" s="1">
        <v>366.51</v>
      </c>
      <c r="E127">
        <v>0</v>
      </c>
      <c r="N127" s="7">
        <v>-2.1336175308108326E-2</v>
      </c>
      <c r="O127" s="7">
        <v>94.748805699848717</v>
      </c>
    </row>
    <row r="128" spans="1:15" x14ac:dyDescent="0.3">
      <c r="A128" s="8">
        <v>94.999336689936925</v>
      </c>
      <c r="B128" s="7">
        <v>0.58600908908427785</v>
      </c>
      <c r="D128" s="1">
        <v>226.35</v>
      </c>
      <c r="E128">
        <v>0</v>
      </c>
      <c r="N128" s="7">
        <v>0.58600908908427785</v>
      </c>
      <c r="O128" s="7">
        <v>94.999336689936925</v>
      </c>
    </row>
    <row r="129" spans="1:15" x14ac:dyDescent="0.3">
      <c r="A129" s="8">
        <v>308.9251682426231</v>
      </c>
      <c r="B129" s="7">
        <v>0.68817407584715928</v>
      </c>
      <c r="D129" s="1">
        <v>339.2</v>
      </c>
      <c r="E129">
        <v>4388</v>
      </c>
      <c r="N129" s="7">
        <v>0.68817407584715928</v>
      </c>
      <c r="O129" s="7">
        <v>308.9251682426231</v>
      </c>
    </row>
    <row r="130" spans="1:15" x14ac:dyDescent="0.3">
      <c r="A130" s="8">
        <v>136.42998468215472</v>
      </c>
      <c r="B130" s="7">
        <v>0.23714497702323206</v>
      </c>
      <c r="D130" s="1">
        <v>539.71</v>
      </c>
      <c r="E130">
        <v>0</v>
      </c>
      <c r="N130" s="7">
        <v>0.23714497702323206</v>
      </c>
      <c r="O130" s="7">
        <v>136.42998468215472</v>
      </c>
    </row>
    <row r="131" spans="1:15" x14ac:dyDescent="0.3">
      <c r="A131" s="8">
        <v>64.118888172111355</v>
      </c>
      <c r="B131" s="7">
        <v>0.36711907216656375</v>
      </c>
      <c r="D131" s="1">
        <v>384.43</v>
      </c>
      <c r="E131">
        <v>0</v>
      </c>
      <c r="N131" s="7">
        <v>0.36711907216656375</v>
      </c>
      <c r="O131" s="7">
        <v>64.118888172111355</v>
      </c>
    </row>
    <row r="132" spans="1:15" x14ac:dyDescent="0.3">
      <c r="A132" s="8">
        <v>114.62753125903735</v>
      </c>
      <c r="B132" s="7">
        <v>0.28906180609982002</v>
      </c>
      <c r="D132" s="1">
        <v>369.11</v>
      </c>
      <c r="E132">
        <v>0</v>
      </c>
      <c r="N132" s="7">
        <v>0.28906180609982002</v>
      </c>
      <c r="O132" s="7">
        <v>114.62753125903735</v>
      </c>
    </row>
    <row r="133" spans="1:15" x14ac:dyDescent="0.3">
      <c r="A133" s="8">
        <v>44.877772186058884</v>
      </c>
      <c r="B133" s="7">
        <v>-8.1191301235647995E-2</v>
      </c>
      <c r="D133" s="1">
        <v>282.17</v>
      </c>
      <c r="E133">
        <v>8576</v>
      </c>
      <c r="N133" s="7">
        <v>-8.1191301235647995E-2</v>
      </c>
      <c r="O133" s="7">
        <v>44.877772186058884</v>
      </c>
    </row>
    <row r="134" spans="1:15" x14ac:dyDescent="0.3">
      <c r="A134" s="8">
        <v>30.146288262965243</v>
      </c>
      <c r="B134" s="7">
        <v>-1.0463331619473222E-2</v>
      </c>
      <c r="D134" s="1">
        <v>561.16999999999996</v>
      </c>
      <c r="E134">
        <v>3794</v>
      </c>
      <c r="N134" s="7">
        <v>-1.0463331619473222E-2</v>
      </c>
      <c r="O134" s="7">
        <v>30.146288262965243</v>
      </c>
    </row>
    <row r="135" spans="1:15" x14ac:dyDescent="0.3">
      <c r="A135" s="8">
        <v>171.70756016362012</v>
      </c>
      <c r="B135" s="7">
        <v>-0.13459070742865842</v>
      </c>
      <c r="D135" s="1">
        <v>386.39</v>
      </c>
      <c r="E135">
        <v>0</v>
      </c>
      <c r="N135" s="7">
        <v>-0.13459070742865842</v>
      </c>
      <c r="O135" s="7">
        <v>171.70756016362012</v>
      </c>
    </row>
    <row r="136" spans="1:15" x14ac:dyDescent="0.3">
      <c r="A136" s="8">
        <v>722.66189948011231</v>
      </c>
      <c r="B136" s="7">
        <v>3.1989081738246758</v>
      </c>
      <c r="D136" s="1">
        <v>461.34</v>
      </c>
      <c r="E136">
        <v>0</v>
      </c>
      <c r="N136" s="7">
        <v>3.1989081738246758</v>
      </c>
      <c r="O136" s="7">
        <v>722.66189948011231</v>
      </c>
    </row>
    <row r="137" spans="1:15" x14ac:dyDescent="0.3">
      <c r="A137" s="8">
        <v>132.69529833184518</v>
      </c>
      <c r="B137" s="7">
        <v>-2.4989305473013902E-2</v>
      </c>
      <c r="D137" s="1">
        <v>252.29</v>
      </c>
      <c r="E137">
        <v>0</v>
      </c>
      <c r="N137" s="7">
        <v>-2.4989305473013902E-2</v>
      </c>
      <c r="O137" s="7">
        <v>132.69529833184518</v>
      </c>
    </row>
    <row r="138" spans="1:15" x14ac:dyDescent="0.3">
      <c r="A138" s="8">
        <v>170.56255704909179</v>
      </c>
      <c r="B138" s="7">
        <v>0.40894351219316238</v>
      </c>
      <c r="D138" s="1">
        <v>68.180000000000007</v>
      </c>
      <c r="E138">
        <v>4060</v>
      </c>
      <c r="N138" s="7">
        <v>0.40894351219316238</v>
      </c>
      <c r="O138" s="7">
        <v>170.56255704909179</v>
      </c>
    </row>
    <row r="139" spans="1:15" x14ac:dyDescent="0.3">
      <c r="A139" s="8">
        <v>36.080108427334537</v>
      </c>
      <c r="B139" s="7">
        <v>0.36301096318009568</v>
      </c>
      <c r="D139" s="1">
        <v>541.87</v>
      </c>
      <c r="E139">
        <v>5464</v>
      </c>
      <c r="N139" s="7">
        <v>0.36301096318009568</v>
      </c>
      <c r="O139" s="7">
        <v>36.080108427334537</v>
      </c>
    </row>
    <row r="140" spans="1:15" x14ac:dyDescent="0.3">
      <c r="A140" s="8">
        <v>63.433255265628588</v>
      </c>
      <c r="B140" s="7">
        <v>0.23881780637369862</v>
      </c>
      <c r="D140" s="1">
        <v>148.22999999999999</v>
      </c>
      <c r="E140">
        <v>0</v>
      </c>
      <c r="N140" s="7">
        <v>0.23881780637369862</v>
      </c>
      <c r="O140" s="7">
        <v>63.433255265628588</v>
      </c>
    </row>
    <row r="141" spans="1:15" x14ac:dyDescent="0.3">
      <c r="A141" s="8">
        <v>141.23171767788531</v>
      </c>
      <c r="B141" s="7">
        <v>0.22779311984491304</v>
      </c>
      <c r="D141" s="1">
        <v>530.05999999999995</v>
      </c>
      <c r="E141">
        <v>6092</v>
      </c>
      <c r="N141" s="7">
        <v>0.22779311984491304</v>
      </c>
      <c r="O141" s="7">
        <v>141.23171767788531</v>
      </c>
    </row>
    <row r="142" spans="1:15" x14ac:dyDescent="0.3">
      <c r="A142" s="8">
        <v>72.818123859751992</v>
      </c>
      <c r="B142" s="7">
        <v>0.45598891700275229</v>
      </c>
      <c r="D142" s="1">
        <v>171.43</v>
      </c>
      <c r="E142">
        <v>0</v>
      </c>
      <c r="N142" s="7">
        <v>0.45598891700275229</v>
      </c>
      <c r="O142" s="7">
        <v>72.818123859751992</v>
      </c>
    </row>
    <row r="143" spans="1:15" x14ac:dyDescent="0.3">
      <c r="A143" s="8">
        <v>203.4261565726041</v>
      </c>
      <c r="B143" s="7">
        <v>-0.38596621680236953</v>
      </c>
      <c r="D143" s="1">
        <v>28.15</v>
      </c>
      <c r="E143">
        <v>5556</v>
      </c>
      <c r="N143" s="7">
        <v>-0.38596621680236953</v>
      </c>
      <c r="O143" s="7">
        <v>203.4261565726041</v>
      </c>
    </row>
    <row r="144" spans="1:15" x14ac:dyDescent="0.3">
      <c r="A144" s="8">
        <v>34.484206337191928</v>
      </c>
      <c r="B144" s="7">
        <v>0.20505194795726833</v>
      </c>
      <c r="D144" s="1">
        <v>506.35</v>
      </c>
      <c r="E144">
        <v>5611</v>
      </c>
      <c r="N144" s="7">
        <v>0.20505194795726833</v>
      </c>
      <c r="O144" s="7">
        <v>34.484206337191928</v>
      </c>
    </row>
    <row r="145" spans="1:15" x14ac:dyDescent="0.3">
      <c r="A145" s="8">
        <v>65.270100989493002</v>
      </c>
      <c r="B145" s="7">
        <v>0.2439485871671937</v>
      </c>
      <c r="D145" s="1">
        <v>414.39</v>
      </c>
      <c r="E145">
        <v>536</v>
      </c>
      <c r="N145" s="7">
        <v>0.2439485871671937</v>
      </c>
      <c r="O145" s="7">
        <v>65.270100989493002</v>
      </c>
    </row>
    <row r="146" spans="1:15" x14ac:dyDescent="0.3">
      <c r="A146" s="8">
        <v>42.873898259561081</v>
      </c>
      <c r="B146" s="7">
        <v>0.38737837787261586</v>
      </c>
      <c r="D146" s="1">
        <v>149.11000000000001</v>
      </c>
      <c r="E146">
        <v>0</v>
      </c>
      <c r="N146" s="7">
        <v>0.38737837787261586</v>
      </c>
      <c r="O146" s="7">
        <v>42.873898259561081</v>
      </c>
    </row>
    <row r="147" spans="1:15" x14ac:dyDescent="0.3">
      <c r="A147" s="8">
        <v>174.66196082147002</v>
      </c>
      <c r="B147" s="7">
        <v>0.72018286472274196</v>
      </c>
      <c r="D147" s="1">
        <v>442.82</v>
      </c>
      <c r="E147">
        <v>0</v>
      </c>
      <c r="N147" s="7">
        <v>0.72018286472274196</v>
      </c>
      <c r="O147" s="7">
        <v>174.66196082147002</v>
      </c>
    </row>
    <row r="148" spans="1:15" x14ac:dyDescent="0.3">
      <c r="A148" s="8">
        <v>96.127909282680932</v>
      </c>
      <c r="B148" s="7">
        <v>0.39707322386179505</v>
      </c>
      <c r="D148" s="1">
        <v>330.03</v>
      </c>
      <c r="E148">
        <v>4431</v>
      </c>
      <c r="N148" s="7">
        <v>0.39707322386179505</v>
      </c>
      <c r="O148" s="7">
        <v>96.127909282680932</v>
      </c>
    </row>
    <row r="149" spans="1:15" x14ac:dyDescent="0.3">
      <c r="A149" s="8">
        <v>57.750175246627563</v>
      </c>
      <c r="B149" s="7">
        <v>0.22766348413906073</v>
      </c>
      <c r="D149" s="1">
        <v>295.95999999999998</v>
      </c>
      <c r="E149">
        <v>7961</v>
      </c>
      <c r="N149" s="7">
        <v>0.22766348413906073</v>
      </c>
      <c r="O149" s="7">
        <v>57.750175246627563</v>
      </c>
    </row>
    <row r="150" spans="1:15" x14ac:dyDescent="0.3">
      <c r="A150" s="8">
        <v>31.62750104360974</v>
      </c>
      <c r="B150" s="7">
        <v>0.28974749767554586</v>
      </c>
      <c r="D150" s="1">
        <v>92.15</v>
      </c>
      <c r="E150">
        <v>789</v>
      </c>
      <c r="N150" s="7">
        <v>0.28974749767554586</v>
      </c>
      <c r="O150" s="7">
        <v>31.62750104360974</v>
      </c>
    </row>
    <row r="151" spans="1:15" x14ac:dyDescent="0.3">
      <c r="A151" s="8">
        <v>98.234796297199225</v>
      </c>
      <c r="B151" s="7">
        <v>0.7282662450284535</v>
      </c>
      <c r="D151" s="1">
        <v>166.61</v>
      </c>
      <c r="E151">
        <v>0</v>
      </c>
      <c r="N151" s="7">
        <v>0.7282662450284535</v>
      </c>
      <c r="O151" s="7">
        <v>98.234796297199225</v>
      </c>
    </row>
    <row r="152" spans="1:15" x14ac:dyDescent="0.3">
      <c r="A152" s="8">
        <v>21.463916400335787</v>
      </c>
      <c r="B152" s="7">
        <v>0.60968409204696461</v>
      </c>
      <c r="D152" s="1">
        <v>8.08</v>
      </c>
      <c r="E152">
        <v>2687</v>
      </c>
      <c r="N152" s="7">
        <v>0.60968409204696461</v>
      </c>
      <c r="O152" s="7">
        <v>21.463916400335787</v>
      </c>
    </row>
    <row r="153" spans="1:15" x14ac:dyDescent="0.3">
      <c r="A153" s="8">
        <v>217.31637631578002</v>
      </c>
      <c r="B153" s="7">
        <v>-0.12139769925949469</v>
      </c>
      <c r="D153" s="1">
        <v>346.61</v>
      </c>
      <c r="E153">
        <v>0</v>
      </c>
      <c r="N153" s="7">
        <v>-0.12139769925949469</v>
      </c>
      <c r="O153" s="7">
        <v>217.31637631578002</v>
      </c>
    </row>
    <row r="154" spans="1:15" x14ac:dyDescent="0.3">
      <c r="A154" s="8">
        <v>152.36311724939088</v>
      </c>
      <c r="B154" s="7">
        <v>0.64781975973556827</v>
      </c>
      <c r="D154" s="1">
        <v>526.66</v>
      </c>
      <c r="E154">
        <v>251</v>
      </c>
      <c r="N154" s="7">
        <v>0.64781975973556827</v>
      </c>
      <c r="O154" s="7">
        <v>152.36311724939088</v>
      </c>
    </row>
    <row r="155" spans="1:15" x14ac:dyDescent="0.3">
      <c r="A155" s="8">
        <v>22.057426306403514</v>
      </c>
      <c r="B155" s="7">
        <v>0.26572704521272611</v>
      </c>
      <c r="D155" s="1">
        <v>167.34</v>
      </c>
      <c r="E155">
        <v>1945</v>
      </c>
      <c r="N155" s="7">
        <v>0.26572704521272611</v>
      </c>
      <c r="O155" s="7">
        <v>22.057426306403514</v>
      </c>
    </row>
    <row r="156" spans="1:15" x14ac:dyDescent="0.3">
      <c r="A156" s="8">
        <v>76.575503137043171</v>
      </c>
      <c r="B156" s="7">
        <v>-3.5000837786010835E-3</v>
      </c>
      <c r="D156" s="1">
        <v>514.41</v>
      </c>
      <c r="E156">
        <v>6743</v>
      </c>
      <c r="N156" s="7">
        <v>-3.5000837786010835E-3</v>
      </c>
      <c r="O156" s="7">
        <v>76.575503137043171</v>
      </c>
    </row>
    <row r="157" spans="1:15" x14ac:dyDescent="0.3">
      <c r="A157" s="8">
        <v>131.47130917949096</v>
      </c>
      <c r="B157" s="7">
        <v>0.22018813735903006</v>
      </c>
      <c r="D157" s="1">
        <v>145.13999999999999</v>
      </c>
      <c r="E157">
        <v>4474</v>
      </c>
      <c r="N157" s="7">
        <v>0.22018813735903006</v>
      </c>
      <c r="O157" s="7">
        <v>131.47130917949096</v>
      </c>
    </row>
    <row r="158" spans="1:15" x14ac:dyDescent="0.3">
      <c r="A158" s="8">
        <v>20.440478365150803</v>
      </c>
      <c r="B158" s="7">
        <v>0.328977460090767</v>
      </c>
      <c r="D158" s="1">
        <v>554.25</v>
      </c>
      <c r="E158">
        <v>0</v>
      </c>
      <c r="N158" s="7">
        <v>0.328977460090767</v>
      </c>
      <c r="O158" s="7">
        <v>20.440478365150803</v>
      </c>
    </row>
    <row r="159" spans="1:15" x14ac:dyDescent="0.3">
      <c r="A159" s="8">
        <v>161.92685334813427</v>
      </c>
      <c r="B159" s="7">
        <v>0.1727212892514895</v>
      </c>
      <c r="D159" s="1">
        <v>422.65</v>
      </c>
      <c r="E159">
        <v>0</v>
      </c>
      <c r="N159" s="7">
        <v>0.1727212892514895</v>
      </c>
      <c r="O159" s="7">
        <v>161.92685334813427</v>
      </c>
    </row>
    <row r="160" spans="1:15" x14ac:dyDescent="0.3">
      <c r="A160" s="8">
        <v>72.377190118620078</v>
      </c>
      <c r="B160" s="7">
        <v>0.34527239090216566</v>
      </c>
      <c r="D160" s="1">
        <v>125.28</v>
      </c>
      <c r="E160">
        <v>0</v>
      </c>
      <c r="N160" s="7">
        <v>0.34527239090216566</v>
      </c>
      <c r="O160" s="7">
        <v>72.377190118620078</v>
      </c>
    </row>
    <row r="161" spans="1:15" x14ac:dyDescent="0.3">
      <c r="A161" s="8">
        <v>70.023033558935069</v>
      </c>
      <c r="B161" s="7">
        <v>0.46632542374715286</v>
      </c>
      <c r="D161" s="1">
        <v>274.79000000000002</v>
      </c>
      <c r="E161">
        <v>8509</v>
      </c>
      <c r="N161" s="7">
        <v>0.46632542374715286</v>
      </c>
      <c r="O161" s="7">
        <v>70.023033558935069</v>
      </c>
    </row>
    <row r="162" spans="1:15" x14ac:dyDescent="0.3">
      <c r="A162" s="8">
        <v>34.779074493409965</v>
      </c>
      <c r="B162" s="7">
        <v>0.38408910565329307</v>
      </c>
      <c r="D162" s="1">
        <v>48.45</v>
      </c>
      <c r="E162">
        <v>7041</v>
      </c>
      <c r="N162" s="7">
        <v>0.38408910565329307</v>
      </c>
      <c r="O162" s="7">
        <v>34.779074493409965</v>
      </c>
    </row>
    <row r="163" spans="1:15" x14ac:dyDescent="0.3">
      <c r="A163" s="8">
        <v>35.738124264784517</v>
      </c>
      <c r="B163" s="7">
        <v>0.27627804512886323</v>
      </c>
      <c r="D163" s="1">
        <v>460.67</v>
      </c>
      <c r="E163">
        <v>6987</v>
      </c>
      <c r="N163" s="7">
        <v>0.27627804512886323</v>
      </c>
      <c r="O163" s="7">
        <v>35.738124264784517</v>
      </c>
    </row>
    <row r="164" spans="1:15" x14ac:dyDescent="0.3">
      <c r="A164" s="8">
        <v>78.660957915442324</v>
      </c>
      <c r="B164" s="7">
        <v>-3.1698528315190197E-2</v>
      </c>
      <c r="D164" s="1">
        <v>595.74</v>
      </c>
      <c r="E164">
        <v>0</v>
      </c>
      <c r="N164" s="7">
        <v>-3.1698528315190197E-2</v>
      </c>
      <c r="O164" s="7">
        <v>78.660957915442324</v>
      </c>
    </row>
    <row r="165" spans="1:15" x14ac:dyDescent="0.3">
      <c r="A165" s="8">
        <v>44.296373015129731</v>
      </c>
      <c r="B165" s="7">
        <v>0.28159402964244334</v>
      </c>
      <c r="D165" s="1">
        <v>97.3</v>
      </c>
      <c r="E165">
        <v>0</v>
      </c>
      <c r="N165" s="7">
        <v>0.28159402964244334</v>
      </c>
      <c r="O165" s="7">
        <v>44.296373015129731</v>
      </c>
    </row>
    <row r="166" spans="1:15" x14ac:dyDescent="0.3">
      <c r="A166" s="8">
        <v>89.949527061188732</v>
      </c>
      <c r="B166" s="7">
        <v>0.50455266306705659</v>
      </c>
      <c r="D166" s="1">
        <v>150.62</v>
      </c>
      <c r="E166">
        <v>824</v>
      </c>
      <c r="N166" s="7">
        <v>0.50455266306705659</v>
      </c>
      <c r="O166" s="7">
        <v>89.949527061188732</v>
      </c>
    </row>
    <row r="167" spans="1:15" x14ac:dyDescent="0.3">
      <c r="A167" s="8">
        <v>124.90669459896473</v>
      </c>
      <c r="B167" s="7">
        <v>2.0543383197909146</v>
      </c>
      <c r="D167" s="1">
        <v>347.79</v>
      </c>
      <c r="E167">
        <v>0</v>
      </c>
      <c r="N167" s="7">
        <v>2.0543383197909146</v>
      </c>
      <c r="O167" s="7">
        <v>124.90669459896473</v>
      </c>
    </row>
    <row r="168" spans="1:15" x14ac:dyDescent="0.3">
      <c r="A168" s="8">
        <v>104.55522401993269</v>
      </c>
      <c r="B168" s="7">
        <v>-5.2002922291240414E-3</v>
      </c>
      <c r="D168" s="1">
        <v>408.86</v>
      </c>
      <c r="E168">
        <v>0</v>
      </c>
      <c r="N168" s="7">
        <v>-5.2002922291240414E-3</v>
      </c>
      <c r="O168" s="7">
        <v>104.55522401993269</v>
      </c>
    </row>
    <row r="169" spans="1:15" x14ac:dyDescent="0.3">
      <c r="A169" s="8">
        <v>138.86600053266932</v>
      </c>
      <c r="B169" s="7">
        <v>8.291418544283552E-2</v>
      </c>
      <c r="D169" s="1">
        <v>139.08000000000001</v>
      </c>
      <c r="E169">
        <v>2465</v>
      </c>
      <c r="N169" s="7">
        <v>8.291418544283552E-2</v>
      </c>
      <c r="O169" s="7">
        <v>138.86600053266932</v>
      </c>
    </row>
    <row r="170" spans="1:15" x14ac:dyDescent="0.3">
      <c r="A170" s="8">
        <v>27.531979031892327</v>
      </c>
      <c r="B170" s="7">
        <v>0.43685928929556461</v>
      </c>
      <c r="D170" s="1">
        <v>225.79</v>
      </c>
      <c r="E170">
        <v>0</v>
      </c>
      <c r="N170" s="7">
        <v>0.43685928929556461</v>
      </c>
      <c r="O170" s="7">
        <v>27.531979031892327</v>
      </c>
    </row>
    <row r="171" spans="1:15" x14ac:dyDescent="0.3">
      <c r="A171" s="8">
        <v>520.11632694177524</v>
      </c>
      <c r="B171" s="7">
        <v>2.358931684200384</v>
      </c>
      <c r="D171" s="1">
        <v>134.12</v>
      </c>
      <c r="E171">
        <v>3522</v>
      </c>
      <c r="N171" s="7">
        <v>2.358931684200384</v>
      </c>
      <c r="O171" s="7">
        <v>520.11632694177524</v>
      </c>
    </row>
    <row r="172" spans="1:15" x14ac:dyDescent="0.3">
      <c r="A172" s="8">
        <v>20.324888323140392</v>
      </c>
      <c r="B172" s="7">
        <v>0.18601485183182864</v>
      </c>
      <c r="D172" s="1">
        <v>126.69</v>
      </c>
      <c r="E172">
        <v>4021</v>
      </c>
      <c r="N172" s="7">
        <v>0.18601485183182864</v>
      </c>
      <c r="O172" s="7">
        <v>20.324888323140392</v>
      </c>
    </row>
    <row r="173" spans="1:15" x14ac:dyDescent="0.3">
      <c r="A173" s="8">
        <v>101.81489353247508</v>
      </c>
      <c r="B173" s="7">
        <v>0.73362337549362111</v>
      </c>
      <c r="D173" s="1">
        <v>434.84</v>
      </c>
      <c r="E173">
        <v>0</v>
      </c>
      <c r="N173" s="7">
        <v>0.73362337549362111</v>
      </c>
      <c r="O173" s="7">
        <v>101.81489353247508</v>
      </c>
    </row>
    <row r="174" spans="1:15" x14ac:dyDescent="0.3">
      <c r="A174" s="8">
        <v>459.24502651462171</v>
      </c>
      <c r="B174" s="7">
        <v>1.0725035643209631</v>
      </c>
      <c r="D174" s="1">
        <v>253.46</v>
      </c>
      <c r="E174">
        <v>0</v>
      </c>
      <c r="N174" s="7">
        <v>1.0725035643209631</v>
      </c>
      <c r="O174" s="7">
        <v>459.24502651462171</v>
      </c>
    </row>
    <row r="175" spans="1:15" x14ac:dyDescent="0.3">
      <c r="A175" s="8">
        <v>32.466879107988319</v>
      </c>
      <c r="B175" s="7">
        <v>0.42553830897514194</v>
      </c>
      <c r="D175" s="1">
        <v>580.07000000000005</v>
      </c>
      <c r="E175">
        <v>8137</v>
      </c>
      <c r="N175" s="7">
        <v>0.42553830897514194</v>
      </c>
      <c r="O175" s="7">
        <v>32.466879107988319</v>
      </c>
    </row>
    <row r="176" spans="1:15" x14ac:dyDescent="0.3">
      <c r="A176" s="8">
        <v>56.364864370555004</v>
      </c>
      <c r="B176" s="7">
        <v>-5.8959573315496748E-2</v>
      </c>
      <c r="D176" s="1">
        <v>25.13</v>
      </c>
      <c r="E176">
        <v>0</v>
      </c>
      <c r="N176" s="7">
        <v>-5.8959573315496748E-2</v>
      </c>
      <c r="O176" s="7">
        <v>56.364864370555004</v>
      </c>
    </row>
    <row r="177" spans="1:15" x14ac:dyDescent="0.3">
      <c r="A177" s="8">
        <v>1056.9567799770709</v>
      </c>
      <c r="B177" s="7">
        <v>6.6248463334116048</v>
      </c>
      <c r="D177" s="1">
        <v>401.72</v>
      </c>
      <c r="E177">
        <v>8016</v>
      </c>
      <c r="N177" s="7">
        <v>6.6248463334116048</v>
      </c>
      <c r="O177" s="7">
        <v>1056.9567799770709</v>
      </c>
    </row>
    <row r="178" spans="1:15" x14ac:dyDescent="0.3">
      <c r="A178" s="8">
        <v>32.691280287923526</v>
      </c>
      <c r="B178" s="7">
        <v>0.19371409475357432</v>
      </c>
      <c r="D178" s="1">
        <v>420.23</v>
      </c>
      <c r="E178">
        <v>0</v>
      </c>
      <c r="N178" s="7">
        <v>0.19371409475357432</v>
      </c>
      <c r="O178" s="7">
        <v>32.691280287923526</v>
      </c>
    </row>
    <row r="179" spans="1:15" x14ac:dyDescent="0.3">
      <c r="A179" s="8">
        <v>238.77398361820696</v>
      </c>
      <c r="B179" s="7">
        <v>-0.16917230803755096</v>
      </c>
      <c r="D179" s="1">
        <v>575.78</v>
      </c>
      <c r="E179">
        <v>0</v>
      </c>
      <c r="N179" s="7">
        <v>-0.16917230803755096</v>
      </c>
      <c r="O179" s="7">
        <v>238.77398361820696</v>
      </c>
    </row>
    <row r="180" spans="1:15" x14ac:dyDescent="0.3">
      <c r="A180" s="8">
        <v>3.7271288992633091</v>
      </c>
      <c r="B180" s="7">
        <v>9.913119156574661E-2</v>
      </c>
      <c r="D180" s="1">
        <v>229.42</v>
      </c>
      <c r="E180">
        <v>0</v>
      </c>
      <c r="N180" s="7">
        <v>9.913119156574661E-2</v>
      </c>
      <c r="O180" s="7">
        <v>3.7271288992633091</v>
      </c>
    </row>
    <row r="181" spans="1:15" x14ac:dyDescent="0.3">
      <c r="A181" s="8">
        <v>87.242623453001983</v>
      </c>
      <c r="B181" s="7">
        <v>-4.82329659049298E-2</v>
      </c>
      <c r="D181" s="1">
        <v>319.25</v>
      </c>
      <c r="E181">
        <v>0</v>
      </c>
      <c r="N181" s="7">
        <v>-4.82329659049298E-2</v>
      </c>
      <c r="O181" s="7">
        <v>87.242623453001983</v>
      </c>
    </row>
    <row r="182" spans="1:15" x14ac:dyDescent="0.3">
      <c r="A182" s="8">
        <v>180.00404389114604</v>
      </c>
      <c r="B182" s="7">
        <v>-3.6774983240920921E-3</v>
      </c>
      <c r="D182" s="1">
        <v>511</v>
      </c>
      <c r="E182">
        <v>0</v>
      </c>
      <c r="N182" s="7">
        <v>-3.6774983240920921E-3</v>
      </c>
      <c r="O182" s="7">
        <v>180.00404389114604</v>
      </c>
    </row>
    <row r="183" spans="1:15" x14ac:dyDescent="0.3">
      <c r="A183" s="8">
        <v>94.81050191010182</v>
      </c>
      <c r="B183" s="7">
        <v>0.27434484724399599</v>
      </c>
      <c r="D183" s="1">
        <v>233.39</v>
      </c>
      <c r="E183">
        <v>0</v>
      </c>
      <c r="N183" s="7">
        <v>0.27434484724399599</v>
      </c>
      <c r="O183" s="7">
        <v>94.81050191010182</v>
      </c>
    </row>
    <row r="184" spans="1:15" x14ac:dyDescent="0.3">
      <c r="A184" s="8">
        <v>216.07402097570017</v>
      </c>
      <c r="B184" s="7">
        <v>0.26725362145147502</v>
      </c>
      <c r="D184" s="1">
        <v>465.27</v>
      </c>
      <c r="E184">
        <v>585</v>
      </c>
      <c r="N184" s="7">
        <v>0.26725362145147502</v>
      </c>
      <c r="O184" s="7">
        <v>216.07402097570017</v>
      </c>
    </row>
    <row r="185" spans="1:15" x14ac:dyDescent="0.3">
      <c r="A185" s="8">
        <v>154.1888258378246</v>
      </c>
      <c r="B185" s="7">
        <v>1.2857612393032087</v>
      </c>
      <c r="D185" s="1">
        <v>180.75</v>
      </c>
      <c r="E185">
        <v>0</v>
      </c>
      <c r="N185" s="7">
        <v>1.2857612393032087</v>
      </c>
      <c r="O185" s="7">
        <v>154.1888258378246</v>
      </c>
    </row>
    <row r="186" spans="1:15" x14ac:dyDescent="0.3">
      <c r="A186" s="8">
        <v>12.883191785861007</v>
      </c>
      <c r="B186" s="7">
        <v>-0.10433342015030972</v>
      </c>
      <c r="D186" s="1">
        <v>188.42</v>
      </c>
      <c r="E186">
        <v>5996</v>
      </c>
      <c r="N186" s="7">
        <v>-0.10433342015030972</v>
      </c>
      <c r="O186" s="7">
        <v>12.883191785861007</v>
      </c>
    </row>
    <row r="187" spans="1:15" x14ac:dyDescent="0.3">
      <c r="A187" s="8">
        <v>15.821690106321046</v>
      </c>
      <c r="B187" s="7">
        <v>0.31378649998468</v>
      </c>
      <c r="D187" s="1">
        <v>360.17</v>
      </c>
      <c r="E187">
        <v>5415</v>
      </c>
      <c r="N187" s="7">
        <v>0.31378649998468</v>
      </c>
      <c r="O187" s="7">
        <v>15.821690106321046</v>
      </c>
    </row>
    <row r="188" spans="1:15" x14ac:dyDescent="0.3">
      <c r="A188" s="8">
        <v>35.767155922624596</v>
      </c>
      <c r="B188" s="7">
        <v>0.26266745961087085</v>
      </c>
      <c r="D188" s="1">
        <v>412.76</v>
      </c>
      <c r="E188">
        <v>0</v>
      </c>
      <c r="N188" s="7">
        <v>0.26266745961087085</v>
      </c>
      <c r="O188" s="7">
        <v>35.767155922624596</v>
      </c>
    </row>
    <row r="189" spans="1:15" x14ac:dyDescent="0.3">
      <c r="A189" s="8">
        <v>216.47677270705285</v>
      </c>
      <c r="B189" s="7">
        <v>0.27163627399267598</v>
      </c>
      <c r="D189" s="1">
        <v>566.80999999999995</v>
      </c>
      <c r="E189">
        <v>0</v>
      </c>
      <c r="N189" s="7">
        <v>0.27163627399267598</v>
      </c>
      <c r="O189" s="7">
        <v>216.47677270705285</v>
      </c>
    </row>
    <row r="190" spans="1:15" x14ac:dyDescent="0.3">
      <c r="A190" s="8">
        <v>81.845145228137199</v>
      </c>
      <c r="B190" s="7">
        <v>0.13458869586586444</v>
      </c>
      <c r="D190" s="1">
        <v>261.22000000000003</v>
      </c>
      <c r="E190">
        <v>2330</v>
      </c>
      <c r="N190" s="7">
        <v>0.13458869586586444</v>
      </c>
      <c r="O190" s="7">
        <v>81.845145228137199</v>
      </c>
    </row>
    <row r="191" spans="1:15" x14ac:dyDescent="0.3">
      <c r="A191" s="8">
        <v>153.48454778112892</v>
      </c>
      <c r="B191" s="7">
        <v>1.0392505232080798</v>
      </c>
      <c r="D191" s="1">
        <v>470.27</v>
      </c>
      <c r="E191">
        <v>5439</v>
      </c>
      <c r="N191" s="7">
        <v>1.0392505232080798</v>
      </c>
      <c r="O191" s="7">
        <v>153.48454778112892</v>
      </c>
    </row>
    <row r="192" spans="1:15" x14ac:dyDescent="0.3">
      <c r="A192" s="8">
        <v>61.85407365903567</v>
      </c>
      <c r="B192" s="7">
        <v>-6.8339978478313274E-2</v>
      </c>
      <c r="D192" s="1">
        <v>437.69</v>
      </c>
      <c r="E192">
        <v>3534</v>
      </c>
      <c r="N192" s="7">
        <v>-6.8339978478313274E-2</v>
      </c>
      <c r="O192" s="7">
        <v>61.85407365903567</v>
      </c>
    </row>
    <row r="193" spans="1:15" x14ac:dyDescent="0.3">
      <c r="A193" s="8">
        <v>223.81390834774601</v>
      </c>
      <c r="B193" s="7">
        <v>1.0389329218977466</v>
      </c>
      <c r="D193" s="1">
        <v>49.01</v>
      </c>
      <c r="E193">
        <v>7951</v>
      </c>
      <c r="N193" s="7">
        <v>1.0389329218977466</v>
      </c>
      <c r="O193" s="7">
        <v>223.81390834774601</v>
      </c>
    </row>
    <row r="194" spans="1:15" x14ac:dyDescent="0.3">
      <c r="A194" s="8">
        <v>57.363059101711734</v>
      </c>
      <c r="B194" s="7">
        <v>-4.7469249935048412E-2</v>
      </c>
      <c r="D194" s="1">
        <v>462.53</v>
      </c>
      <c r="E194">
        <v>0</v>
      </c>
      <c r="N194" s="7">
        <v>-4.7469249935048412E-2</v>
      </c>
      <c r="O194" s="7">
        <v>57.363059101711734</v>
      </c>
    </row>
    <row r="195" spans="1:15" x14ac:dyDescent="0.3">
      <c r="A195" s="8">
        <v>46.354971534888037</v>
      </c>
      <c r="B195" s="7">
        <v>-9.9466599228224054E-2</v>
      </c>
      <c r="D195" s="1">
        <v>158.94999999999999</v>
      </c>
      <c r="E195">
        <v>0</v>
      </c>
      <c r="N195" s="7">
        <v>-9.9466599228224054E-2</v>
      </c>
      <c r="O195" s="7">
        <v>46.354971534888037</v>
      </c>
    </row>
    <row r="196" spans="1:15" x14ac:dyDescent="0.3">
      <c r="A196" s="8">
        <v>6.142581423212639</v>
      </c>
      <c r="B196" s="7">
        <v>-6.6603925428302985E-2</v>
      </c>
      <c r="D196" s="1">
        <v>252.51</v>
      </c>
      <c r="E196">
        <v>0</v>
      </c>
      <c r="N196" s="7">
        <v>-6.6603925428302985E-2</v>
      </c>
      <c r="O196" s="7">
        <v>6.142581423212639</v>
      </c>
    </row>
    <row r="197" spans="1:15" x14ac:dyDescent="0.3">
      <c r="A197" s="8">
        <v>72.430218404776639</v>
      </c>
      <c r="B197" s="7">
        <v>0.45933687921120298</v>
      </c>
      <c r="D197" s="1">
        <v>194.75</v>
      </c>
      <c r="E197">
        <v>0</v>
      </c>
      <c r="N197" s="7">
        <v>0.45933687921120298</v>
      </c>
      <c r="O197" s="7">
        <v>72.430218404776639</v>
      </c>
    </row>
    <row r="198" spans="1:15" x14ac:dyDescent="0.3">
      <c r="A198" s="8">
        <v>112.77779741444061</v>
      </c>
      <c r="B198" s="7">
        <v>-1.7896118126308907E-2</v>
      </c>
      <c r="D198" s="1">
        <v>100.28</v>
      </c>
      <c r="E198">
        <v>7085</v>
      </c>
      <c r="N198" s="7">
        <v>-1.7896118126308907E-2</v>
      </c>
      <c r="O198" s="7">
        <v>112.77779741444061</v>
      </c>
    </row>
    <row r="199" spans="1:15" x14ac:dyDescent="0.3">
      <c r="A199" s="8">
        <v>344.57336592029361</v>
      </c>
      <c r="B199" s="7">
        <v>3.7147735782292766</v>
      </c>
      <c r="D199" s="1">
        <v>236.36</v>
      </c>
      <c r="E199">
        <v>0</v>
      </c>
      <c r="N199" s="7">
        <v>3.7147735782292766</v>
      </c>
      <c r="O199" s="7">
        <v>344.57336592029361</v>
      </c>
    </row>
    <row r="200" spans="1:15" x14ac:dyDescent="0.3">
      <c r="A200" s="8">
        <v>26.896309738076692</v>
      </c>
      <c r="B200" s="7">
        <v>0.56835339090439263</v>
      </c>
      <c r="D200" s="1">
        <v>296.24</v>
      </c>
      <c r="E200">
        <v>5234</v>
      </c>
      <c r="N200" s="7">
        <v>0.56835339090439263</v>
      </c>
      <c r="O200" s="7">
        <v>26.896309738076692</v>
      </c>
    </row>
    <row r="201" spans="1:15" x14ac:dyDescent="0.3">
      <c r="A201" s="8">
        <v>90.928738418689065</v>
      </c>
      <c r="B201" s="7">
        <v>8.1398928282750069E-2</v>
      </c>
      <c r="D201" s="1">
        <v>370.62</v>
      </c>
      <c r="E201">
        <v>0</v>
      </c>
      <c r="N201" s="7">
        <v>8.1398928282750069E-2</v>
      </c>
      <c r="O201" s="7">
        <v>90.928738418689065</v>
      </c>
    </row>
  </sheetData>
  <pageMargins left="0.7" right="0.7" top="0.75" bottom="0.75" header="0.3" footer="0.3"/>
  <drawing r:id="rId1"/>
  <tableParts count="3">
    <tablePart r:id="rId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E0AF391-F1DF-4751-A784-7B4F23038F3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Original Data</vt:lpstr>
      <vt:lpstr>Dataset</vt:lpstr>
      <vt:lpstr>Pivot table</vt:lpstr>
      <vt:lpstr>Dashboard 1</vt:lpstr>
      <vt:lpstr>Dashboard 2</vt:lpstr>
      <vt:lpstr>Power query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Ajikobi Motunrola</cp:lastModifiedBy>
  <dcterms:created xsi:type="dcterms:W3CDTF">2025-12-29T18:30:25Z</dcterms:created>
  <dcterms:modified xsi:type="dcterms:W3CDTF">2026-02-28T14:42:42Z</dcterms:modified>
</cp:coreProperties>
</file>